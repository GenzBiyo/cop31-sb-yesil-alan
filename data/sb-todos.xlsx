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rol Listesi" sheetId="1" r:id="rId4"/>
    <sheet state="visible" name="Özet" sheetId="2" r:id="rId5"/>
  </sheets>
  <definedNames>
    <definedName hidden="1" localSheetId="0" name="_xlnm._FilterDatabase">'Kontrol Listesi'!$A$7:$N$60</definedName>
  </definedNames>
  <calcPr/>
  <extLst>
    <ext uri="GoogleSheetsCustomDataVersion2">
      <go:sheetsCustomData xmlns:go="http://customooxmlschemas.google.com/" r:id="rId6" roundtripDataChecksum="3g5aV2Esdvucr+lIsD09oJ4Siu092Geb9N3mBoduJx4="/>
    </ext>
  </extLst>
</workbook>
</file>

<file path=xl/sharedStrings.xml><?xml version="1.0" encoding="utf-8"?>
<sst xmlns="http://schemas.openxmlformats.org/spreadsheetml/2006/main" count="378" uniqueCount="197">
  <si>
    <t>KONTROL LİSTESİ ÖZETİ</t>
  </si>
  <si>
    <t>COP31 SAĞLIK PAVILION (YEŞİL ALAN) HAZIRLIK KONTROL LİSTESİ</t>
  </si>
  <si>
    <t>Toplam Faaliyet</t>
  </si>
  <si>
    <t>T.C. Sağlık Bakanlığı Sağlığın Geliştirmesi Genel Müdürlüğü (SGGM) — COP31 Antalya, 9-20 Kasım 2026</t>
  </si>
  <si>
    <t>Hazırlık Başlangıcı:</t>
  </si>
  <si>
    <t>17.09.2026</t>
  </si>
  <si>
    <t>COP31 Etkinlik Tarihleri:</t>
  </si>
  <si>
    <t>09.11.2026 - 20.11.2026 (Antalya)</t>
  </si>
  <si>
    <t>Başlanmadı</t>
  </si>
  <si>
    <t>COP31'e Kalan Gün:</t>
  </si>
  <si>
    <t>Devam Ediyor</t>
  </si>
  <si>
    <t>Tamamlandı</t>
  </si>
  <si>
    <t>Not: Yeşil Alan Başvuru Çağrısı'nın son başvuru tarihi 27 Eylül 2026'dır (cop31.saglik.gov.tr). 9 Kasım 2026 Sağlık Günü (Health Day) 10,11 Kasım SayınCumhurbaşkanına özel, Sağlık Pavilyonu programının odak günleridir.</t>
  </si>
  <si>
    <t>Gecikti</t>
  </si>
  <si>
    <t>Not:  'Tamamlanma %' ve 'Kalan Gün' sütunları Durum ve Bitiş Tarihi'ne göre otomatik hesaplanır.</t>
  </si>
  <si>
    <t>İptal</t>
  </si>
  <si>
    <t>Ortalama Tamamlanma %</t>
  </si>
  <si>
    <t>No</t>
  </si>
  <si>
    <t>İş Paketi</t>
  </si>
  <si>
    <t>Faaliyet</t>
  </si>
  <si>
    <t>Açıklama / Detay</t>
  </si>
  <si>
    <t>Başlangıç Tarihi</t>
  </si>
  <si>
    <t>Bitiş Tarihi</t>
  </si>
  <si>
    <t>Sorumlu Birim</t>
  </si>
  <si>
    <t>Sorumlu Kişi</t>
  </si>
  <si>
    <t>Durum</t>
  </si>
  <si>
    <t>Tamamlanma %</t>
  </si>
  <si>
    <t>Kalan Gün</t>
  </si>
  <si>
    <t>Gecikme Riski Taşıyan Faaliyet</t>
  </si>
  <si>
    <t>Gecikme / Risk</t>
  </si>
  <si>
    <t>Öncelik</t>
  </si>
  <si>
    <t>Notlar</t>
  </si>
  <si>
    <t>Genel Koordinasyon</t>
  </si>
  <si>
    <t>Son Tarihi Yaklaşan (≤7 gün)</t>
  </si>
  <si>
    <t>Proje yönetim ekibi ve görev dağılımının kurulması</t>
  </si>
  <si>
    <t>SGGM bünyesinde Pavilion Proje Sorumlusu ve alt ekiplerin (içerik, lojistik, iletişim, protokol) belirlenmesi</t>
  </si>
  <si>
    <t>Tamamlanma Oranı (Faaliyet Bazında, %)</t>
  </si>
  <si>
    <t>SGGM Genel Müdürlüğü</t>
  </si>
  <si>
    <t>Kategori bazında faaliyet sayısı</t>
  </si>
  <si>
    <t>Kategori</t>
  </si>
  <si>
    <t>Faaliyet Sayısı</t>
  </si>
  <si>
    <t>Başvuru / Çağrı Süreci</t>
  </si>
  <si>
    <t>Konsept, Tasarım ve İçerik</t>
  </si>
  <si>
    <t>Yüksek</t>
  </si>
  <si>
    <t>Görevlendirme yazısı hazırlanacak</t>
  </si>
  <si>
    <t>Program ve Etkinlikler</t>
  </si>
  <si>
    <t>Sağlık Bakanlığı üst yönetimi ile kapsam çalışmaları</t>
  </si>
  <si>
    <t>Sağlık Bakanlığı ilgili genel müdürlükler ile koordinasyon toplantısı</t>
  </si>
  <si>
    <t>SGGM / Bakanlık Makamı</t>
  </si>
  <si>
    <t>Paydaş ve Protokol</t>
  </si>
  <si>
    <t>Lojistik ve Saha Kurulumu</t>
  </si>
  <si>
    <t xml:space="preserve">İş takvimi  ve haftalık koordinasyon toplantı planının oluşturulması </t>
  </si>
  <si>
    <t>Tüm alt ekiplerin katılacağı haftalık ilerleme toplantılarının takviminin çıkarılması</t>
  </si>
  <si>
    <t>SGGM Proje Sorumlusu</t>
  </si>
  <si>
    <t>Orta</t>
  </si>
  <si>
    <t>Dış paydaşlarla  koordinasyon protokolünün kurulması</t>
  </si>
  <si>
    <t>COP31 Ulusal Organizasyon Komitesi ile irtibat noktalarının netleştirilmesi</t>
  </si>
  <si>
    <t>Teknik Altyapı / AV</t>
  </si>
  <si>
    <t>SGGM / Dış İlişkiler</t>
  </si>
  <si>
    <t>ÇEŞ</t>
  </si>
  <si>
    <t>Risk yönetimi ve acil durum planının hazırlanması</t>
  </si>
  <si>
    <t>İletişim ve Tanıtım</t>
  </si>
  <si>
    <t>Kurulum, etkinlik ve söküm süreçlerine ilişkin risk kayıt defteri ve aksiyon planı</t>
  </si>
  <si>
    <t>Bütçe ve Satınalma</t>
  </si>
  <si>
    <t>cop31.saglik.gov.tr üzerindeki 'Yeşil Alan Başvuru Çağrısı' metninin ve kılavuzunun hazırlanması</t>
  </si>
  <si>
    <t>Başvuru rehberi (PDF) ve form içeriğinin ekip içinde değerlendirilmesi</t>
  </si>
  <si>
    <t>SGGM İçerik Ekibi</t>
  </si>
  <si>
    <t>İnsan Kaynakları</t>
  </si>
  <si>
    <t>sggm@saglik.gov.tr ile teyit</t>
  </si>
  <si>
    <t>Güvenlik ve Sağlık Tedbirleri</t>
  </si>
  <si>
    <t>Son başvuru tarihinin ve değerlendirme takviminin teyit edilmesi</t>
  </si>
  <si>
    <t>Google Forms başvuru bağlantısı üzerinden güncel son tarihin doğrulanması</t>
  </si>
  <si>
    <t>Son başvuru tarihi 27.09.2026 olarak teyit edildi</t>
  </si>
  <si>
    <t>Saha Operasyonları (9-20 Kasım)</t>
  </si>
  <si>
    <t>Kurum içi ve paydaş çağrısının duyurulması</t>
  </si>
  <si>
    <t>Üniversiteler, STK'lar, uluslararası kuruluşlar ve ilgili genel müdürlüklere çağrının iletilmesi</t>
  </si>
  <si>
    <t>SGGM İletişim Ekibi</t>
  </si>
  <si>
    <t>Kapanış ve Raporlama</t>
  </si>
  <si>
    <t>Son başvuru: 27.09.2026 — duyuru bu tarihten önce tamamlanmalı</t>
  </si>
  <si>
    <t>Başvuruların Yeşil Alan portalı/Google Forms üzerinden kabulünün son bulması</t>
  </si>
  <si>
    <t>27 Eylül 2026 son başvuru tarihinde başvuru sisteminin kapatılması ve tüm başvuruların dışa aktarılması</t>
  </si>
  <si>
    <t>Kesin son tarih: 27.09.2026</t>
  </si>
  <si>
    <t>Gelen proje/etkinlik başvurularının toplanması ve ön değerlendirmesi</t>
  </si>
  <si>
    <t>Başvuruların (proje, araştırma, atölye, toplantı, iyi uygulama) kategorilere ayrılması</t>
  </si>
  <si>
    <t>SGGM Değerlendirme Komisyonu</t>
  </si>
  <si>
    <t>Kabul edilen içeriklerin başvuru sahiplerine bildirilmesi</t>
  </si>
  <si>
    <t>Onay/ret bildirimlerinin yapılması ve program taslağına yerleştirilmesi</t>
  </si>
  <si>
    <t>Pavilion teması ve mesajlarının belirlenmesi Pavilion konsepti: 'Sağlıklı İnsan, Sağlıklı Gezegen' görsel kimliğinin geliştirilmesi</t>
  </si>
  <si>
    <t>COP31 Sağlık Pavilionu ana temasıyla uyumlu mesaj çerçevesinin oluşturulması</t>
  </si>
  <si>
    <t>WHO Health at COP31 teması referans alınacak</t>
  </si>
  <si>
    <t xml:space="preserve">Stant/pavilion iç mimari ve görsel tasarım konseptinin hazırlanması </t>
  </si>
  <si>
    <t>Kurumsal kimlik, Bakanlık logosu ve COP31 görsel kimliğine uygun tasarım.Mimari yerleşim: sahne, oturma, deneyim alanı, stant, backstage ve depolama</t>
  </si>
  <si>
    <t>SGGM Tasarım Ekibi / Dış Tedarikçi</t>
  </si>
  <si>
    <t>Stand/pano, infografik ve dijital içeriklerin hazırlanması</t>
  </si>
  <si>
    <t>Sağlık-iklim verilerini içeren pano, video ve interaktif ekran içeriklerinin üretimi</t>
  </si>
  <si>
    <t>Çok dilli (TR/EN) materyal ve çeviri sürecinin tamamlanması</t>
  </si>
  <si>
    <t>Broşür, sunum ve pano metinlerinin İngilizce çevirilerinin yaptırılması</t>
  </si>
  <si>
    <t>SGGM / Çeviri Birimi</t>
  </si>
  <si>
    <t>Pavilion 12 günlük etkinlik takviminin (9-20 Kasım) oluşturulması.Günlük dashboard ve yönetici özet formatının hazırlanması</t>
  </si>
  <si>
    <t>Her gün için panel, atölye ve yan etkinliklerin saat bazlı programlanması.Görevli iletişim listesi ve WhatsApp/acil iletişim grubunun kurulması</t>
  </si>
  <si>
    <t>SGGM Program Ekibi</t>
  </si>
  <si>
    <t>9 Kasım Sağlık Günü (Health Day) ana programının netleştirilmesi</t>
  </si>
  <si>
    <t>Açılış konuşmaları, yüksek düzey panel ve basın toplantısının planlanması</t>
  </si>
  <si>
    <t>COP31'in odak günlerinden biri</t>
  </si>
  <si>
    <t>10 Kasım ATACH Day programının WHO/ATACH ile koordinasyonu</t>
  </si>
  <si>
    <t>İklim ve Sağlığa Dayanıklı Sağlık Sistemleri İttifakı (ATACH) ile ortak oturumların planlanması</t>
  </si>
  <si>
    <t>SGGM / WHO İrtibat</t>
  </si>
  <si>
    <t>Konuşmacı ve panelist davetlerinin gönderilmesi</t>
  </si>
  <si>
    <t>Ulusal/uluslararası uzman, akademisyen ve yetkililere davet ve teyit süreci</t>
  </si>
  <si>
    <t>SGGM Protokol Ekibi</t>
  </si>
  <si>
    <t>Moderatör brifingleri ve oturum akış planlarının hazırlanması.Her kritik risk için B planı ve sorumlu belirlenmesi</t>
  </si>
  <si>
    <t>Her oturum için moderatör notu, süre planı ve soru-cevap formatının belirlenmesi</t>
  </si>
  <si>
    <t>Düşük</t>
  </si>
  <si>
    <t>Health Pavilionda yer alacak dış katılımcılar ile koordinasyon toplantıları</t>
  </si>
  <si>
    <t>Pavilyon alanının metrekare, konum ve teknik altyapı,promosyan malzeme temini netleştirilmesi</t>
  </si>
  <si>
    <t xml:space="preserve">SGGM </t>
  </si>
  <si>
    <t>WHO, UNFCCC ve uluslararası sağlık kuruluşlarıyla işbirliği protokollerinin takibi</t>
  </si>
  <si>
    <t>Ortak etkinlik ve içerik üretimi için mutabakat metinlerinin hazırlanması</t>
  </si>
  <si>
    <t>SGGM /</t>
  </si>
  <si>
    <t>UA</t>
  </si>
  <si>
    <t>VIP ve üst düzey ziyaretçi protokol planının hazırlanması</t>
  </si>
  <si>
    <t>Bakan, milletvekili ve yabancı heyet ziyaretleri için karşılama/güzergah planı</t>
  </si>
  <si>
    <t>Akreditasyon ve giriş-çıkış izinlerinin (Bakanlık personeli, konuşmacılar) alınması</t>
  </si>
  <si>
    <t xml:space="preserve"> saha akreditasyon sürecinin takibi ve personel listelerinin iletilmesi</t>
  </si>
  <si>
    <t>SGGM İnsan Kaynakları</t>
  </si>
  <si>
    <t>Stant kurulum firması/yükleniciyle sözleşme ve teknik şartnamenin tamamlanması</t>
  </si>
  <si>
    <t>İhale/satınalma süreci sonrası kurulum takviminin netleştirilmesi</t>
  </si>
  <si>
    <t>SGGM Satınalma / Lojistik</t>
  </si>
  <si>
    <t>Mobilya, donanım ve sarf malzeme listesinin çıkarılması ve temini</t>
  </si>
  <si>
    <t>Masa, sandalye, tanıtım standı, promosyon malzemeleri vb. temini</t>
  </si>
  <si>
    <t>SGGM Lojistik Ekibi</t>
  </si>
  <si>
    <t>Ulaşım, konaklama ve saha nakliye organizasyonu</t>
  </si>
  <si>
    <t>Personel ve konuk konuşmacılar için Antalya ulaşım/konaklama planlaması.Otel–EXPO Center shuttle/transfer planının netleştirilmesi</t>
  </si>
  <si>
    <t>Pavilion fiziki kurulumunun ve sıfır atık köyünün sahada teftişi</t>
  </si>
  <si>
    <t>Stant, sergi alanı ve oturum alanlarının saha teslim tarihine göre planlama,Antalya seyahat</t>
  </si>
  <si>
    <t xml:space="preserve">SGGM Lojistik Ekibi </t>
  </si>
  <si>
    <t>COP31 alan teslim tarihine bağlı</t>
  </si>
  <si>
    <t xml:space="preserve">Kurulum sonrası saha kontrolü ve prova </t>
  </si>
  <si>
    <t>Açılıştan önce tüm alanın son kontrol listesiyle denetlenmesi</t>
  </si>
  <si>
    <t>Ses, görüntü, sahne  kurulumu</t>
  </si>
  <si>
    <t>Panel alanları için AV ekipman  temini</t>
  </si>
  <si>
    <t>SGGM Teknik Ekip / Yüklenici</t>
  </si>
  <si>
    <t>İnternet, wifi ve canlı yayın altyapısının kurulması</t>
  </si>
  <si>
    <t>Oturumların çevrimiçi yayını için bant genişliği ve yayın altyapısının sağlanması</t>
  </si>
  <si>
    <t xml:space="preserve">SGGM Teknik Ekip </t>
  </si>
  <si>
    <t>Dijital ekran ve interaktif sunum sistemlerinin test edilmesi</t>
  </si>
  <si>
    <t>Tüm dijital içeriklerin cihazlarda önceden test edilmesi</t>
  </si>
  <si>
    <t>SGGM Teknik Ekip</t>
  </si>
  <si>
    <t>Pavilion iletişim ve medya stratejisinin hazırlanması</t>
  </si>
  <si>
    <t>Basın bülteni takvimi, sosyal medya planı ve görsel kimlik rehberinin oluşturulması</t>
  </si>
  <si>
    <t>Basın daveti ve akreditasyon listesinin hazırlanması</t>
  </si>
  <si>
    <t>Ulusal/uluslararası basın mensuplarının davet ve akreditasyon sürecinin yürütülmesi</t>
  </si>
  <si>
    <t>SGGM İletişim</t>
  </si>
  <si>
    <t>Sosyal medya ve web içeriklerinin yayınlanması</t>
  </si>
  <si>
    <t>Etkinlik öncesi/sırası/sonrası içerik takviminin uygulanması</t>
  </si>
  <si>
    <t>Tanıtım materyallerinin (broşür, roll-up) basımı</t>
  </si>
  <si>
    <t>Pavilion ve program tanıtım materyallerinin son içerikle basıma hazırlanması</t>
  </si>
  <si>
    <t>Pavilion toplam bütçesinin hazırlanması ve onaya sunulması</t>
  </si>
  <si>
    <t>Kurulum, lojistik, içerik ve personel giderlerini içeren bütçe planı</t>
  </si>
  <si>
    <t>SGGM / İdari Mali Hizmetler</t>
  </si>
  <si>
    <t>İhale/doğrudan temin süreçlerinin başlatılması (kurulum, AV, catering vb.)</t>
  </si>
  <si>
    <t>Gerekli satınalma dosyalarının hazırlanıp süreçlerin başlatılması</t>
  </si>
  <si>
    <t>Harcama takibi ve bütçe gerçekleşme raporlamasının kurulması</t>
  </si>
  <si>
    <t>Haftalık/aylık bütçe gerçekleşme takip tablosunun oluşturulması</t>
  </si>
  <si>
    <t>Sahada görev alacak personelin (hostes, teknik, güvenlik) belirlenmesi</t>
  </si>
  <si>
    <t>Görev tanımlarına göre personel/tedarikçi ihtiyacının netleştirilmesi</t>
  </si>
  <si>
    <t>Görevli personel için eğitim ve bilgilendirme toplantısının yapılması</t>
  </si>
  <si>
    <t>Program, protokol kuralları ve acil durum prosedürleri hakkında brifing</t>
  </si>
  <si>
    <t>Vardiya ve görev dağılım çizelgesinin (9-20 Kasım) hazırlanması</t>
  </si>
  <si>
    <t>12 günlük etkinlik boyunca personel vardiya planının oluşturulması</t>
  </si>
  <si>
    <t>Saha güvenlik planının yerel otoritelerle koordinasyonu</t>
  </si>
  <si>
    <t>Genel COP31 güvenlik protokolüne uyumlu pavilion güvenlik planı</t>
  </si>
  <si>
    <t xml:space="preserve">SGGM / </t>
  </si>
  <si>
    <t>İlk yardım ve acil sağlık müdahale noktasının kurulması</t>
  </si>
  <si>
    <t>Pavilion içinde/yakınında ilk yardım istasyonu ve sağlık personeli bulundurulması</t>
  </si>
  <si>
    <t>Yangın, deprem ve tahliye planının hazırlanması</t>
  </si>
  <si>
    <t>Saha bazlı acil tahliye planının oluşturulup personele duyurulması</t>
  </si>
  <si>
    <t>SGGM / Güvenlik Birimi</t>
  </si>
  <si>
    <t>Pavilion resmi açılışının gerçekleştirilmesi</t>
  </si>
  <si>
    <t>9 Kasım Sağlık Günü açılış töreni ve basın toplantısı</t>
  </si>
  <si>
    <t>Günlük program akışının ve oturumların yönetilmesi</t>
  </si>
  <si>
    <t>12 gün boyunca panel, atölye ve yan etkinliklerin sahada koordinasyonu</t>
  </si>
  <si>
    <t>Günlük ziyaretçi ve katılımcı izlem ve raporlamasının yapılması</t>
  </si>
  <si>
    <t>Her gün sonunda katılımcı sayısı, medya yansımaları ve sorunların raporlanması</t>
  </si>
  <si>
    <t>SGGM İletişim / Proje Sorumlusu</t>
  </si>
  <si>
    <t>Teknik ve lojistik arıza/aksaklıkların anlık müdahale ile giderilmesi</t>
  </si>
  <si>
    <t>Sahada oluşabilecek teknik sorunlar için hızlı müdahale ekibinin görevlendirilmesi</t>
  </si>
  <si>
    <t>Pavilyonun sökümü ve alan tesliminin yapılması</t>
  </si>
  <si>
    <t>Kurulum firmasıyla birlikte alanın COP31 organizasyonuna teslim edilmesi</t>
  </si>
  <si>
    <t>SGGM Lojistik Ekibi / Yüklenici</t>
  </si>
  <si>
    <t>Bütçe kapanışı ve harcama mutabakatının tamamlanması</t>
  </si>
  <si>
    <t>Tüm faturaların kontrolü ve nihai bütçe raporunun hazırlanması</t>
  </si>
  <si>
    <t>SGGM Mali Hizmetler</t>
  </si>
  <si>
    <t>Faaliyet sonuç raporunun ve değerlendirme sunumunun hazırlanması.Üst yönetime nihai sonuç ve öneriler brifingi</t>
  </si>
  <si>
    <t>Katılım, medya, paydaş geri bildirimlerini içeren nihai rapor ve dersler çıkarımı</t>
  </si>
  <si>
    <t>Teşekkür yazıları ve paydaş geri bildirim anketinin gönderilmesi</t>
  </si>
  <si>
    <t>Katkı sağlayan kurum/kişilere teşekkür ve memnuniyet anketi süreci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</si>
</sst>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0.0%"/>
  </numFmts>
  <fonts count="12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6.0"/>
      <color rgb="FFFFFFFF"/>
      <name val="Calibri"/>
    </font>
    <font>
      <b/>
      <sz val="11.0"/>
      <color theme="1"/>
      <name val="Calibri"/>
    </font>
    <font>
      <i/>
      <sz val="11.0"/>
      <color rgb="FFFFFFFF"/>
      <name val="Calibri"/>
    </font>
    <font>
      <sz val="11.0"/>
      <color theme="1"/>
      <name val="Calibri"/>
    </font>
    <font>
      <i/>
      <sz val="9.0"/>
      <color rgb="FF626567"/>
      <name val="Calibri"/>
    </font>
    <font>
      <b/>
      <sz val="11.0"/>
      <color rgb="FFFFFFFF"/>
      <name val="Calibri"/>
    </font>
    <font>
      <sz val="10.0"/>
      <color theme="1"/>
      <name val="Calibri"/>
    </font>
    <font>
      <i/>
      <sz val="10.0"/>
      <color rgb="FF9E9E9E"/>
      <name val="Calibri"/>
    </font>
    <font>
      <b/>
      <i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0B5345"/>
        <bgColor rgb="FF0B5345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117A65"/>
        <bgColor rgb="FF117A65"/>
      </patternFill>
    </fill>
    <fill>
      <patternFill patternType="solid">
        <fgColor rgb="FFD6EAF8"/>
        <bgColor rgb="FFD6EAF8"/>
      </patternFill>
    </fill>
    <fill>
      <patternFill patternType="solid">
        <fgColor rgb="FFFFFDE7"/>
        <bgColor rgb="FFFFFDE7"/>
      </patternFill>
    </fill>
    <fill>
      <patternFill patternType="solid">
        <fgColor rgb="FFFCF3CF"/>
        <bgColor rgb="FFFCF3CF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D1F2EB"/>
        <bgColor rgb="FFD1F2EB"/>
      </patternFill>
    </fill>
    <fill>
      <patternFill patternType="solid">
        <fgColor rgb="FFFADBD8"/>
        <bgColor rgb="FFFADBD8"/>
      </patternFill>
    </fill>
    <fill>
      <patternFill patternType="solid">
        <fgColor rgb="FFD6DBDF"/>
        <bgColor rgb="FFD6DBDF"/>
      </patternFill>
    </fill>
    <fill>
      <patternFill patternType="solid">
        <fgColor rgb="FFF9E79F"/>
        <bgColor rgb="FFF9E79F"/>
      </patternFill>
    </fill>
    <fill>
      <patternFill patternType="solid">
        <fgColor rgb="FFD4EFDF"/>
        <bgColor rgb="FFD4EFDF"/>
      </patternFill>
    </fill>
    <fill>
      <patternFill patternType="solid">
        <fgColor rgb="FFD0ECE7"/>
        <bgColor rgb="FFD0ECE7"/>
      </patternFill>
    </fill>
    <fill>
      <patternFill patternType="solid">
        <fgColor rgb="FFF5B7B1"/>
        <bgColor rgb="FFF5B7B1"/>
      </patternFill>
    </fill>
    <fill>
      <patternFill patternType="solid">
        <fgColor rgb="FFAED6F1"/>
        <bgColor rgb="FFAED6F1"/>
      </patternFill>
    </fill>
    <fill>
      <patternFill patternType="solid">
        <fgColor rgb="FFE5E8E8"/>
        <bgColor rgb="FFE5E8E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3" fontId="4" numFmtId="0" xfId="0" applyBorder="1" applyFill="1" applyFont="1"/>
    <xf borderId="1" fillId="2" fontId="5" numFmtId="0" xfId="0" applyAlignment="1" applyBorder="1" applyFill="1" applyFont="1">
      <alignment horizontal="center" readingOrder="0" vertical="center"/>
    </xf>
    <xf borderId="1" fillId="4" fontId="4" numFmtId="0" xfId="0" applyBorder="1" applyFill="1" applyFont="1"/>
    <xf borderId="5" fillId="4" fontId="6" numFmtId="164" xfId="0" applyBorder="1" applyFill="1" applyFont="1" applyNumberFormat="1"/>
    <xf borderId="4" fillId="4" fontId="6" numFmtId="0" xfId="0" applyBorder="1" applyFill="1" applyFont="1"/>
    <xf borderId="5" fillId="4" fontId="6" numFmtId="0" xfId="0" applyBorder="1" applyFill="1" applyFont="1"/>
    <xf borderId="5" fillId="4" fontId="6" numFmtId="1" xfId="0" applyBorder="1" applyFill="1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4" fillId="5" fontId="8" numFmtId="0" xfId="0" applyAlignment="1" applyBorder="1" applyFill="1" applyFont="1">
      <alignment horizontal="center" shrinkToFit="0" vertical="center" wrapText="1"/>
    </xf>
    <xf borderId="4" fillId="4" fontId="6" numFmtId="165" xfId="0" applyBorder="1" applyFill="1" applyFont="1" applyNumberFormat="1"/>
    <xf borderId="4" fillId="0" fontId="9" numFmtId="0" xfId="0" applyAlignment="1" applyBorder="1" applyFont="1">
      <alignment vertical="center"/>
    </xf>
    <xf borderId="4" fillId="6" fontId="9" numFmtId="0" xfId="0" applyAlignment="1" applyBorder="1" applyFill="1" applyFont="1">
      <alignment vertical="center"/>
    </xf>
    <xf borderId="4" fillId="0" fontId="9" numFmtId="0" xfId="0" applyAlignment="1" applyBorder="1" applyFont="1">
      <alignment shrinkToFit="0" vertical="center" wrapText="1"/>
    </xf>
    <xf borderId="4" fillId="0" fontId="9" numFmtId="164" xfId="0" applyAlignment="1" applyBorder="1" applyFont="1" applyNumberFormat="1">
      <alignment vertical="center"/>
    </xf>
    <xf borderId="4" fillId="7" fontId="10" numFmtId="0" xfId="0" applyAlignment="1" applyBorder="1" applyFill="1" applyFont="1">
      <alignment vertical="center"/>
    </xf>
    <xf borderId="0" fillId="0" fontId="11" numFmtId="0" xfId="0" applyFont="1"/>
    <xf borderId="5" fillId="5" fontId="8" numFmtId="0" xfId="0" applyBorder="1" applyFill="1" applyFont="1"/>
    <xf borderId="4" fillId="6" fontId="6" numFmtId="0" xfId="0" applyBorder="1" applyFill="1" applyFont="1"/>
    <xf borderId="4" fillId="0" fontId="9" numFmtId="9" xfId="0" applyAlignment="1" applyBorder="1" applyFont="1" applyNumberFormat="1">
      <alignment vertical="center"/>
    </xf>
    <xf borderId="4" fillId="0" fontId="6" numFmtId="0" xfId="0" applyBorder="1" applyFont="1"/>
    <xf borderId="4" fillId="0" fontId="9" numFmtId="1" xfId="0" applyAlignment="1" applyBorder="1" applyFont="1" applyNumberFormat="1">
      <alignment vertical="center"/>
    </xf>
    <xf borderId="4" fillId="8" fontId="6" numFmtId="0" xfId="0" applyBorder="1" applyFill="1" applyFont="1"/>
    <xf borderId="4" fillId="9" fontId="6" numFmtId="0" xfId="0" applyBorder="1" applyFill="1" applyFont="1"/>
    <xf borderId="4" fillId="10" fontId="6" numFmtId="0" xfId="0" applyBorder="1" applyFill="1" applyFont="1"/>
    <xf borderId="4" fillId="7" fontId="9" numFmtId="0" xfId="0" applyAlignment="1" applyBorder="1" applyFill="1" applyFont="1">
      <alignment vertical="center"/>
    </xf>
    <xf borderId="4" fillId="11" fontId="6" numFmtId="0" xfId="0" applyBorder="1" applyFill="1" applyFont="1"/>
    <xf borderId="4" fillId="12" fontId="6" numFmtId="0" xfId="0" applyBorder="1" applyFill="1" applyFont="1"/>
    <xf borderId="4" fillId="13" fontId="6" numFmtId="0" xfId="0" applyBorder="1" applyFill="1" applyFont="1"/>
    <xf borderId="4" fillId="14" fontId="6" numFmtId="0" xfId="0" applyBorder="1" applyFill="1" applyFont="1"/>
    <xf borderId="4" fillId="15" fontId="6" numFmtId="0" xfId="0" applyBorder="1" applyFill="1" applyFont="1"/>
    <xf borderId="4" fillId="8" fontId="9" numFmtId="0" xfId="0" applyAlignment="1" applyBorder="1" applyFill="1" applyFont="1">
      <alignment vertical="center"/>
    </xf>
    <xf borderId="4" fillId="16" fontId="6" numFmtId="0" xfId="0" applyBorder="1" applyFill="1" applyFont="1"/>
    <xf borderId="4" fillId="17" fontId="6" numFmtId="0" xfId="0" applyBorder="1" applyFill="1" applyFont="1"/>
    <xf borderId="4" fillId="18" fontId="6" numFmtId="0" xfId="0" applyBorder="1" applyFill="1" applyFont="1"/>
    <xf borderId="4" fillId="19" fontId="6" numFmtId="0" xfId="0" applyBorder="1" applyFill="1" applyFont="1"/>
    <xf borderId="4" fillId="9" fontId="9" numFmtId="0" xfId="0" applyAlignment="1" applyBorder="1" applyFill="1" applyFont="1">
      <alignment vertical="center"/>
    </xf>
    <xf borderId="4" fillId="10" fontId="9" numFmtId="0" xfId="0" applyAlignment="1" applyBorder="1" applyFill="1" applyFont="1">
      <alignment vertical="center"/>
    </xf>
    <xf borderId="4" fillId="11" fontId="9" numFmtId="0" xfId="0" applyAlignment="1" applyBorder="1" applyFill="1" applyFont="1">
      <alignment vertical="center"/>
    </xf>
    <xf borderId="4" fillId="12" fontId="9" numFmtId="0" xfId="0" applyAlignment="1" applyBorder="1" applyFill="1" applyFont="1">
      <alignment vertical="center"/>
    </xf>
    <xf borderId="4" fillId="13" fontId="9" numFmtId="0" xfId="0" applyAlignment="1" applyBorder="1" applyFill="1" applyFont="1">
      <alignment vertical="center"/>
    </xf>
    <xf borderId="4" fillId="14" fontId="9" numFmtId="0" xfId="0" applyAlignment="1" applyBorder="1" applyFill="1" applyFont="1">
      <alignment vertical="center"/>
    </xf>
    <xf borderId="4" fillId="15" fontId="9" numFmtId="0" xfId="0" applyAlignment="1" applyBorder="1" applyFill="1" applyFont="1">
      <alignment vertical="center"/>
    </xf>
    <xf borderId="4" fillId="16" fontId="9" numFmtId="0" xfId="0" applyAlignment="1" applyBorder="1" applyFill="1" applyFont="1">
      <alignment vertical="center"/>
    </xf>
    <xf borderId="4" fillId="17" fontId="9" numFmtId="0" xfId="0" applyAlignment="1" applyBorder="1" applyFill="1" applyFont="1">
      <alignment vertical="center"/>
    </xf>
    <xf borderId="4" fillId="18" fontId="9" numFmtId="0" xfId="0" applyAlignment="1" applyBorder="1" applyFill="1" applyFont="1">
      <alignment vertical="center"/>
    </xf>
    <xf borderId="4" fillId="19" fontId="9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ECEFF1"/>
          <bgColor rgb="FFECEF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8.0"/>
    <col customWidth="1" min="4" max="4" width="44.0"/>
    <col customWidth="1" min="5" max="6" width="13.0"/>
    <col customWidth="1" min="7" max="7" width="22.0"/>
    <col customWidth="1" min="8" max="8" width="18.0"/>
    <col customWidth="1" min="9" max="9" width="13.0"/>
    <col customWidth="1" min="10" max="10" width="12.0"/>
    <col customWidth="1" min="11" max="11" width="10.0"/>
    <col customWidth="1" min="12" max="12" width="12.86"/>
    <col customWidth="1" min="13" max="13" width="12.29"/>
    <col customWidth="1" min="14" max="14" width="28.0"/>
    <col customWidth="1" min="15" max="26" width="8.71"/>
  </cols>
  <sheetData>
    <row r="1" ht="30.0" customHeight="1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</row>
    <row r="2" ht="19.5" customHeight="1">
      <c r="A2" s="6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</row>
    <row r="3" ht="18.0" customHeight="1">
      <c r="A3" s="7" t="s">
        <v>4</v>
      </c>
      <c r="B3" s="4"/>
      <c r="C3" s="8" t="s">
        <v>5</v>
      </c>
      <c r="D3" s="7" t="s">
        <v>6</v>
      </c>
      <c r="E3" s="4"/>
      <c r="F3" s="10" t="s">
        <v>7</v>
      </c>
      <c r="G3" s="7" t="s">
        <v>9</v>
      </c>
      <c r="H3" s="4"/>
      <c r="I3" s="11">
        <f>DATE(2026,11,9)-TODAY()</f>
        <v>51</v>
      </c>
    </row>
    <row r="4" ht="15.75" customHeight="1">
      <c r="A4" s="12" t="s">
        <v>12</v>
      </c>
    </row>
    <row r="5" ht="15.75" customHeight="1">
      <c r="A5" s="13" t="s">
        <v>14</v>
      </c>
    </row>
    <row r="6" ht="14.25" customHeight="1"/>
    <row r="7" ht="25.5" customHeight="1">
      <c r="A7" s="14" t="s">
        <v>17</v>
      </c>
      <c r="B7" s="14" t="s">
        <v>18</v>
      </c>
      <c r="C7" s="14" t="s">
        <v>19</v>
      </c>
      <c r="D7" s="14" t="s">
        <v>20</v>
      </c>
      <c r="E7" s="14" t="s">
        <v>21</v>
      </c>
      <c r="F7" s="14" t="s">
        <v>22</v>
      </c>
      <c r="G7" s="14" t="s">
        <v>23</v>
      </c>
      <c r="H7" s="14" t="s">
        <v>24</v>
      </c>
      <c r="I7" s="14" t="s">
        <v>25</v>
      </c>
      <c r="J7" s="14" t="s">
        <v>26</v>
      </c>
      <c r="K7" s="14" t="s">
        <v>27</v>
      </c>
      <c r="L7" s="14" t="s">
        <v>29</v>
      </c>
      <c r="M7" s="14" t="s">
        <v>30</v>
      </c>
      <c r="N7" s="14" t="s">
        <v>31</v>
      </c>
    </row>
    <row r="8" ht="14.25" customHeight="1">
      <c r="A8" s="16">
        <v>1.0</v>
      </c>
      <c r="B8" s="17" t="s">
        <v>32</v>
      </c>
      <c r="C8" s="18" t="s">
        <v>34</v>
      </c>
      <c r="D8" s="18" t="s">
        <v>35</v>
      </c>
      <c r="E8" s="19">
        <v>46282.0</v>
      </c>
      <c r="F8" s="19">
        <v>46289.0</v>
      </c>
      <c r="G8" s="16" t="s">
        <v>37</v>
      </c>
      <c r="H8" s="20"/>
      <c r="I8" s="16" t="s">
        <v>8</v>
      </c>
      <c r="J8" s="24">
        <f t="shared" ref="J8:J60" si="1">IF(I8="Tamamlandı",1,IF(I8="Devam Ediyor",0.5,IF(I8="Gecikti",0.25,0)))</f>
        <v>0</v>
      </c>
      <c r="K8" s="26">
        <f t="shared" ref="K8:K60" si="2">F8-TODAY()</f>
        <v>5</v>
      </c>
      <c r="L8" s="16" t="str">
        <f t="shared" ref="L8:L60" si="3">IF(OR(I8="Tamamlandı",I8="İptal"),"",IF(K8&lt;0,"GECİKME RİSKİ",IF(K8&lt;=7,"YAKLAŞIYOR","")))</f>
        <v>YAKLAŞIYOR</v>
      </c>
      <c r="M8" s="16" t="s">
        <v>43</v>
      </c>
      <c r="N8" s="18" t="s">
        <v>44</v>
      </c>
    </row>
    <row r="9" ht="14.25" customHeight="1">
      <c r="A9" s="16">
        <v>2.0</v>
      </c>
      <c r="B9" s="17" t="s">
        <v>32</v>
      </c>
      <c r="C9" s="18" t="s">
        <v>46</v>
      </c>
      <c r="D9" s="18" t="s">
        <v>47</v>
      </c>
      <c r="E9" s="19">
        <v>46282.0</v>
      </c>
      <c r="F9" s="19">
        <v>46295.0</v>
      </c>
      <c r="G9" s="16" t="s">
        <v>48</v>
      </c>
      <c r="H9" s="30"/>
      <c r="I9" s="16" t="s">
        <v>10</v>
      </c>
      <c r="J9" s="24">
        <f t="shared" si="1"/>
        <v>0.5</v>
      </c>
      <c r="K9" s="26">
        <f t="shared" si="2"/>
        <v>11</v>
      </c>
      <c r="L9" s="16" t="str">
        <f t="shared" si="3"/>
        <v/>
      </c>
      <c r="M9" s="16" t="s">
        <v>43</v>
      </c>
      <c r="N9" s="18"/>
    </row>
    <row r="10" ht="14.25" customHeight="1">
      <c r="A10" s="16">
        <v>3.0</v>
      </c>
      <c r="B10" s="17" t="s">
        <v>32</v>
      </c>
      <c r="C10" s="18" t="s">
        <v>51</v>
      </c>
      <c r="D10" s="18" t="s">
        <v>52</v>
      </c>
      <c r="E10" s="19">
        <v>46282.0</v>
      </c>
      <c r="F10" s="19">
        <v>46290.0</v>
      </c>
      <c r="G10" s="16" t="s">
        <v>53</v>
      </c>
      <c r="H10" s="30"/>
      <c r="I10" s="16" t="s">
        <v>10</v>
      </c>
      <c r="J10" s="24">
        <f t="shared" si="1"/>
        <v>0.5</v>
      </c>
      <c r="K10" s="26">
        <f t="shared" si="2"/>
        <v>6</v>
      </c>
      <c r="L10" s="16" t="str">
        <f t="shared" si="3"/>
        <v>YAKLAŞIYOR</v>
      </c>
      <c r="M10" s="16" t="s">
        <v>54</v>
      </c>
      <c r="N10" s="18"/>
    </row>
    <row r="11" ht="14.25" customHeight="1">
      <c r="A11" s="16">
        <v>4.0</v>
      </c>
      <c r="B11" s="17" t="s">
        <v>32</v>
      </c>
      <c r="C11" s="18" t="s">
        <v>55</v>
      </c>
      <c r="D11" s="18" t="s">
        <v>56</v>
      </c>
      <c r="E11" s="19">
        <v>46282.0</v>
      </c>
      <c r="F11" s="19">
        <v>46296.0</v>
      </c>
      <c r="G11" s="16" t="s">
        <v>58</v>
      </c>
      <c r="H11" s="30" t="s">
        <v>59</v>
      </c>
      <c r="I11" s="16" t="s">
        <v>10</v>
      </c>
      <c r="J11" s="24">
        <f t="shared" si="1"/>
        <v>0.5</v>
      </c>
      <c r="K11" s="26">
        <f t="shared" si="2"/>
        <v>12</v>
      </c>
      <c r="L11" s="16" t="str">
        <f t="shared" si="3"/>
        <v/>
      </c>
      <c r="M11" s="16" t="s">
        <v>43</v>
      </c>
      <c r="N11" s="18"/>
    </row>
    <row r="12" ht="14.25" customHeight="1">
      <c r="A12" s="16">
        <v>5.0</v>
      </c>
      <c r="B12" s="17" t="s">
        <v>32</v>
      </c>
      <c r="C12" s="18" t="s">
        <v>60</v>
      </c>
      <c r="D12" s="18" t="s">
        <v>62</v>
      </c>
      <c r="E12" s="19">
        <v>46296.0</v>
      </c>
      <c r="F12" s="19">
        <v>46315.0</v>
      </c>
      <c r="G12" s="16" t="s">
        <v>53</v>
      </c>
      <c r="H12" s="30"/>
      <c r="I12" s="16" t="s">
        <v>8</v>
      </c>
      <c r="J12" s="24">
        <f t="shared" si="1"/>
        <v>0</v>
      </c>
      <c r="K12" s="26">
        <f t="shared" si="2"/>
        <v>31</v>
      </c>
      <c r="L12" s="16" t="str">
        <f t="shared" si="3"/>
        <v/>
      </c>
      <c r="M12" s="16" t="s">
        <v>54</v>
      </c>
      <c r="N12" s="18"/>
    </row>
    <row r="13" ht="14.25" customHeight="1">
      <c r="A13" s="16">
        <v>6.0</v>
      </c>
      <c r="B13" s="36" t="s">
        <v>41</v>
      </c>
      <c r="C13" s="18" t="s">
        <v>64</v>
      </c>
      <c r="D13" s="18" t="s">
        <v>65</v>
      </c>
      <c r="E13" s="19">
        <v>46268.0</v>
      </c>
      <c r="F13" s="19">
        <v>46271.0</v>
      </c>
      <c r="G13" s="16" t="s">
        <v>66</v>
      </c>
      <c r="H13" s="30"/>
      <c r="I13" s="16" t="s">
        <v>11</v>
      </c>
      <c r="J13" s="24">
        <f t="shared" si="1"/>
        <v>1</v>
      </c>
      <c r="K13" s="26">
        <f t="shared" si="2"/>
        <v>-13</v>
      </c>
      <c r="L13" s="16" t="str">
        <f t="shared" si="3"/>
        <v/>
      </c>
      <c r="M13" s="16" t="s">
        <v>43</v>
      </c>
      <c r="N13" s="18" t="s">
        <v>68</v>
      </c>
    </row>
    <row r="14" ht="14.25" customHeight="1">
      <c r="A14" s="16">
        <v>7.0</v>
      </c>
      <c r="B14" s="36" t="s">
        <v>41</v>
      </c>
      <c r="C14" s="18" t="s">
        <v>70</v>
      </c>
      <c r="D14" s="18" t="s">
        <v>71</v>
      </c>
      <c r="E14" s="19">
        <v>46268.0</v>
      </c>
      <c r="F14" s="19">
        <v>46271.0</v>
      </c>
      <c r="G14" s="16" t="s">
        <v>66</v>
      </c>
      <c r="H14" s="30"/>
      <c r="I14" s="16" t="s">
        <v>11</v>
      </c>
      <c r="J14" s="24">
        <f t="shared" si="1"/>
        <v>1</v>
      </c>
      <c r="K14" s="26">
        <f t="shared" si="2"/>
        <v>-13</v>
      </c>
      <c r="L14" s="16" t="str">
        <f t="shared" si="3"/>
        <v/>
      </c>
      <c r="M14" s="16" t="s">
        <v>43</v>
      </c>
      <c r="N14" s="18" t="s">
        <v>72</v>
      </c>
    </row>
    <row r="15" ht="14.25" customHeight="1">
      <c r="A15" s="16">
        <v>8.0</v>
      </c>
      <c r="B15" s="36" t="s">
        <v>41</v>
      </c>
      <c r="C15" s="18" t="s">
        <v>74</v>
      </c>
      <c r="D15" s="18" t="s">
        <v>75</v>
      </c>
      <c r="E15" s="19">
        <v>46279.0</v>
      </c>
      <c r="F15" s="19">
        <v>46289.0</v>
      </c>
      <c r="G15" s="16" t="s">
        <v>76</v>
      </c>
      <c r="H15" s="30"/>
      <c r="I15" s="16" t="s">
        <v>11</v>
      </c>
      <c r="J15" s="24">
        <f t="shared" si="1"/>
        <v>1</v>
      </c>
      <c r="K15" s="26">
        <f t="shared" si="2"/>
        <v>5</v>
      </c>
      <c r="L15" s="16" t="str">
        <f t="shared" si="3"/>
        <v/>
      </c>
      <c r="M15" s="16" t="s">
        <v>43</v>
      </c>
      <c r="N15" s="18" t="s">
        <v>78</v>
      </c>
    </row>
    <row r="16" ht="14.25" customHeight="1">
      <c r="A16" s="16">
        <v>9.0</v>
      </c>
      <c r="B16" s="36" t="s">
        <v>41</v>
      </c>
      <c r="C16" s="18" t="s">
        <v>79</v>
      </c>
      <c r="D16" s="18" t="s">
        <v>80</v>
      </c>
      <c r="E16" s="19">
        <v>46292.0</v>
      </c>
      <c r="F16" s="19">
        <v>46292.0</v>
      </c>
      <c r="G16" s="16" t="s">
        <v>66</v>
      </c>
      <c r="H16" s="30"/>
      <c r="I16" s="16" t="s">
        <v>8</v>
      </c>
      <c r="J16" s="24">
        <f t="shared" si="1"/>
        <v>0</v>
      </c>
      <c r="K16" s="26">
        <f t="shared" si="2"/>
        <v>8</v>
      </c>
      <c r="L16" s="16" t="str">
        <f t="shared" si="3"/>
        <v/>
      </c>
      <c r="M16" s="16" t="s">
        <v>43</v>
      </c>
      <c r="N16" s="18" t="s">
        <v>81</v>
      </c>
    </row>
    <row r="17" ht="14.25" customHeight="1">
      <c r="A17" s="16">
        <v>10.0</v>
      </c>
      <c r="B17" s="36" t="s">
        <v>41</v>
      </c>
      <c r="C17" s="18" t="s">
        <v>82</v>
      </c>
      <c r="D17" s="18" t="s">
        <v>83</v>
      </c>
      <c r="E17" s="19">
        <v>46293.0</v>
      </c>
      <c r="F17" s="19">
        <v>46303.0</v>
      </c>
      <c r="G17" s="16" t="s">
        <v>84</v>
      </c>
      <c r="H17" s="30"/>
      <c r="I17" s="16" t="s">
        <v>8</v>
      </c>
      <c r="J17" s="24">
        <f t="shared" si="1"/>
        <v>0</v>
      </c>
      <c r="K17" s="26">
        <f t="shared" si="2"/>
        <v>19</v>
      </c>
      <c r="L17" s="16" t="str">
        <f t="shared" si="3"/>
        <v/>
      </c>
      <c r="M17" s="16" t="s">
        <v>43</v>
      </c>
      <c r="N17" s="18"/>
    </row>
    <row r="18" ht="14.25" customHeight="1">
      <c r="A18" s="16">
        <v>11.0</v>
      </c>
      <c r="B18" s="36" t="s">
        <v>41</v>
      </c>
      <c r="C18" s="18" t="s">
        <v>85</v>
      </c>
      <c r="D18" s="18" t="s">
        <v>86</v>
      </c>
      <c r="E18" s="19">
        <v>46304.0</v>
      </c>
      <c r="F18" s="19">
        <v>46310.0</v>
      </c>
      <c r="G18" s="16" t="s">
        <v>84</v>
      </c>
      <c r="H18" s="30"/>
      <c r="I18" s="16" t="s">
        <v>8</v>
      </c>
      <c r="J18" s="24">
        <f t="shared" si="1"/>
        <v>0</v>
      </c>
      <c r="K18" s="26">
        <f t="shared" si="2"/>
        <v>26</v>
      </c>
      <c r="L18" s="16" t="str">
        <f t="shared" si="3"/>
        <v/>
      </c>
      <c r="M18" s="16" t="s">
        <v>54</v>
      </c>
      <c r="N18" s="18"/>
    </row>
    <row r="19" ht="14.25" customHeight="1">
      <c r="A19" s="16">
        <v>12.0</v>
      </c>
      <c r="B19" s="41" t="s">
        <v>42</v>
      </c>
      <c r="C19" s="18" t="s">
        <v>87</v>
      </c>
      <c r="D19" s="18" t="s">
        <v>88</v>
      </c>
      <c r="E19" s="19">
        <v>46270.0</v>
      </c>
      <c r="F19" s="19">
        <v>46290.0</v>
      </c>
      <c r="G19" s="16" t="s">
        <v>66</v>
      </c>
      <c r="H19" s="30"/>
      <c r="I19" s="16" t="s">
        <v>10</v>
      </c>
      <c r="J19" s="24">
        <f t="shared" si="1"/>
        <v>0.5</v>
      </c>
      <c r="K19" s="26">
        <f t="shared" si="2"/>
        <v>6</v>
      </c>
      <c r="L19" s="16" t="str">
        <f t="shared" si="3"/>
        <v>YAKLAŞIYOR</v>
      </c>
      <c r="M19" s="16" t="s">
        <v>43</v>
      </c>
      <c r="N19" s="18" t="s">
        <v>89</v>
      </c>
    </row>
    <row r="20" ht="14.25" customHeight="1">
      <c r="A20" s="16">
        <v>13.0</v>
      </c>
      <c r="B20" s="41" t="s">
        <v>42</v>
      </c>
      <c r="C20" s="18" t="s">
        <v>90</v>
      </c>
      <c r="D20" s="18" t="s">
        <v>91</v>
      </c>
      <c r="E20" s="19">
        <v>46290.0</v>
      </c>
      <c r="F20" s="19">
        <v>46310.0</v>
      </c>
      <c r="G20" s="16" t="s">
        <v>92</v>
      </c>
      <c r="H20" s="30"/>
      <c r="I20" s="16" t="s">
        <v>8</v>
      </c>
      <c r="J20" s="24">
        <f t="shared" si="1"/>
        <v>0</v>
      </c>
      <c r="K20" s="26">
        <f t="shared" si="2"/>
        <v>26</v>
      </c>
      <c r="L20" s="16" t="str">
        <f t="shared" si="3"/>
        <v/>
      </c>
      <c r="M20" s="16" t="s">
        <v>43</v>
      </c>
      <c r="N20" s="18"/>
    </row>
    <row r="21" ht="14.25" customHeight="1">
      <c r="A21" s="16">
        <v>14.0</v>
      </c>
      <c r="B21" s="41" t="s">
        <v>42</v>
      </c>
      <c r="C21" s="18" t="s">
        <v>93</v>
      </c>
      <c r="D21" s="18" t="s">
        <v>94</v>
      </c>
      <c r="E21" s="19">
        <v>46296.0</v>
      </c>
      <c r="F21" s="19">
        <v>46320.0</v>
      </c>
      <c r="G21" s="16" t="s">
        <v>66</v>
      </c>
      <c r="H21" s="30"/>
      <c r="I21" s="16" t="s">
        <v>8</v>
      </c>
      <c r="J21" s="24">
        <f t="shared" si="1"/>
        <v>0</v>
      </c>
      <c r="K21" s="26">
        <f t="shared" si="2"/>
        <v>36</v>
      </c>
      <c r="L21" s="16" t="str">
        <f t="shared" si="3"/>
        <v/>
      </c>
      <c r="M21" s="16" t="s">
        <v>54</v>
      </c>
      <c r="N21" s="18"/>
    </row>
    <row r="22" ht="14.25" customHeight="1">
      <c r="A22" s="16">
        <v>15.0</v>
      </c>
      <c r="B22" s="41" t="s">
        <v>42</v>
      </c>
      <c r="C22" s="18" t="s">
        <v>95</v>
      </c>
      <c r="D22" s="18" t="s">
        <v>96</v>
      </c>
      <c r="E22" s="19">
        <v>46305.0</v>
      </c>
      <c r="F22" s="19">
        <v>46325.0</v>
      </c>
      <c r="G22" s="16" t="s">
        <v>97</v>
      </c>
      <c r="H22" s="30"/>
      <c r="I22" s="16" t="s">
        <v>8</v>
      </c>
      <c r="J22" s="24">
        <f t="shared" si="1"/>
        <v>0</v>
      </c>
      <c r="K22" s="26">
        <f t="shared" si="2"/>
        <v>41</v>
      </c>
      <c r="L22" s="16" t="str">
        <f t="shared" si="3"/>
        <v/>
      </c>
      <c r="M22" s="16" t="s">
        <v>54</v>
      </c>
      <c r="N22" s="18"/>
    </row>
    <row r="23" ht="14.25" customHeight="1">
      <c r="A23" s="16">
        <v>16.0</v>
      </c>
      <c r="B23" s="42" t="s">
        <v>45</v>
      </c>
      <c r="C23" s="18" t="s">
        <v>98</v>
      </c>
      <c r="D23" s="18" t="s">
        <v>99</v>
      </c>
      <c r="E23" s="19">
        <v>46304.0</v>
      </c>
      <c r="F23" s="19">
        <v>46327.0</v>
      </c>
      <c r="G23" s="16" t="s">
        <v>100</v>
      </c>
      <c r="H23" s="30"/>
      <c r="I23" s="16" t="s">
        <v>8</v>
      </c>
      <c r="J23" s="24">
        <f t="shared" si="1"/>
        <v>0</v>
      </c>
      <c r="K23" s="26">
        <f t="shared" si="2"/>
        <v>43</v>
      </c>
      <c r="L23" s="16" t="str">
        <f t="shared" si="3"/>
        <v/>
      </c>
      <c r="M23" s="16" t="s">
        <v>43</v>
      </c>
      <c r="N23" s="18"/>
    </row>
    <row r="24" ht="14.25" customHeight="1">
      <c r="A24" s="16">
        <v>17.0</v>
      </c>
      <c r="B24" s="42" t="s">
        <v>45</v>
      </c>
      <c r="C24" s="18" t="s">
        <v>101</v>
      </c>
      <c r="D24" s="18" t="s">
        <v>102</v>
      </c>
      <c r="E24" s="19">
        <v>46287.0</v>
      </c>
      <c r="F24" s="19">
        <v>46327.0</v>
      </c>
      <c r="G24" s="16" t="s">
        <v>100</v>
      </c>
      <c r="H24" s="30"/>
      <c r="I24" s="16" t="s">
        <v>8</v>
      </c>
      <c r="J24" s="24">
        <f t="shared" si="1"/>
        <v>0</v>
      </c>
      <c r="K24" s="26">
        <f t="shared" si="2"/>
        <v>43</v>
      </c>
      <c r="L24" s="16" t="str">
        <f t="shared" si="3"/>
        <v/>
      </c>
      <c r="M24" s="16" t="s">
        <v>43</v>
      </c>
      <c r="N24" s="18" t="s">
        <v>103</v>
      </c>
    </row>
    <row r="25" ht="14.25" customHeight="1">
      <c r="A25" s="16">
        <v>18.0</v>
      </c>
      <c r="B25" s="42" t="s">
        <v>45</v>
      </c>
      <c r="C25" s="18" t="s">
        <v>104</v>
      </c>
      <c r="D25" s="18" t="s">
        <v>105</v>
      </c>
      <c r="E25" s="19">
        <v>46287.0</v>
      </c>
      <c r="F25" s="19">
        <v>46327.0</v>
      </c>
      <c r="G25" s="16" t="s">
        <v>106</v>
      </c>
      <c r="H25" s="30"/>
      <c r="I25" s="16" t="s">
        <v>8</v>
      </c>
      <c r="J25" s="24">
        <f t="shared" si="1"/>
        <v>0</v>
      </c>
      <c r="K25" s="26">
        <f t="shared" si="2"/>
        <v>43</v>
      </c>
      <c r="L25" s="16" t="str">
        <f t="shared" si="3"/>
        <v/>
      </c>
      <c r="M25" s="16" t="s">
        <v>43</v>
      </c>
      <c r="N25" s="18"/>
    </row>
    <row r="26" ht="14.25" customHeight="1">
      <c r="A26" s="16">
        <v>19.0</v>
      </c>
      <c r="B26" s="42" t="s">
        <v>45</v>
      </c>
      <c r="C26" s="18" t="s">
        <v>107</v>
      </c>
      <c r="D26" s="18" t="s">
        <v>108</v>
      </c>
      <c r="E26" s="19">
        <v>46296.0</v>
      </c>
      <c r="F26" s="19">
        <v>46315.0</v>
      </c>
      <c r="G26" s="16" t="s">
        <v>109</v>
      </c>
      <c r="H26" s="30"/>
      <c r="I26" s="16" t="s">
        <v>8</v>
      </c>
      <c r="J26" s="24">
        <f t="shared" si="1"/>
        <v>0</v>
      </c>
      <c r="K26" s="26">
        <f t="shared" si="2"/>
        <v>31</v>
      </c>
      <c r="L26" s="16" t="str">
        <f t="shared" si="3"/>
        <v/>
      </c>
      <c r="M26" s="16" t="s">
        <v>43</v>
      </c>
      <c r="N26" s="18"/>
    </row>
    <row r="27" ht="14.25" customHeight="1">
      <c r="A27" s="16">
        <v>20.0</v>
      </c>
      <c r="B27" s="42" t="s">
        <v>45</v>
      </c>
      <c r="C27" s="18" t="s">
        <v>110</v>
      </c>
      <c r="D27" s="18" t="s">
        <v>111</v>
      </c>
      <c r="E27" s="19">
        <v>46315.0</v>
      </c>
      <c r="F27" s="19">
        <v>46331.0</v>
      </c>
      <c r="G27" s="16" t="s">
        <v>100</v>
      </c>
      <c r="H27" s="30"/>
      <c r="I27" s="16" t="s">
        <v>8</v>
      </c>
      <c r="J27" s="24">
        <f t="shared" si="1"/>
        <v>0</v>
      </c>
      <c r="K27" s="26">
        <f t="shared" si="2"/>
        <v>47</v>
      </c>
      <c r="L27" s="16" t="str">
        <f t="shared" si="3"/>
        <v/>
      </c>
      <c r="M27" s="16" t="s">
        <v>112</v>
      </c>
      <c r="N27" s="18"/>
    </row>
    <row r="28" ht="14.25" customHeight="1">
      <c r="A28" s="16">
        <v>21.0</v>
      </c>
      <c r="B28" s="43" t="s">
        <v>49</v>
      </c>
      <c r="C28" s="18" t="s">
        <v>113</v>
      </c>
      <c r="D28" s="18" t="s">
        <v>114</v>
      </c>
      <c r="E28" s="19">
        <v>46282.0</v>
      </c>
      <c r="F28" s="19">
        <v>46303.0</v>
      </c>
      <c r="G28" s="16" t="s">
        <v>115</v>
      </c>
      <c r="H28" s="30"/>
      <c r="I28" s="16" t="s">
        <v>8</v>
      </c>
      <c r="J28" s="24">
        <f t="shared" si="1"/>
        <v>0</v>
      </c>
      <c r="K28" s="26">
        <f t="shared" si="2"/>
        <v>19</v>
      </c>
      <c r="L28" s="16" t="str">
        <f t="shared" si="3"/>
        <v/>
      </c>
      <c r="M28" s="16" t="s">
        <v>43</v>
      </c>
      <c r="N28" s="18"/>
    </row>
    <row r="29" ht="14.25" customHeight="1">
      <c r="A29" s="16">
        <v>22.0</v>
      </c>
      <c r="B29" s="43" t="s">
        <v>49</v>
      </c>
      <c r="C29" s="18" t="s">
        <v>116</v>
      </c>
      <c r="D29" s="18" t="s">
        <v>117</v>
      </c>
      <c r="E29" s="19">
        <v>46280.0</v>
      </c>
      <c r="F29" s="19">
        <v>46327.0</v>
      </c>
      <c r="G29" s="16" t="s">
        <v>118</v>
      </c>
      <c r="H29" s="30" t="s">
        <v>119</v>
      </c>
      <c r="I29" s="16" t="s">
        <v>10</v>
      </c>
      <c r="J29" s="24">
        <f t="shared" si="1"/>
        <v>0.5</v>
      </c>
      <c r="K29" s="26">
        <f t="shared" si="2"/>
        <v>43</v>
      </c>
      <c r="L29" s="16" t="str">
        <f t="shared" si="3"/>
        <v/>
      </c>
      <c r="M29" s="16" t="s">
        <v>54</v>
      </c>
      <c r="N29" s="18"/>
    </row>
    <row r="30" ht="14.25" customHeight="1">
      <c r="A30" s="16">
        <v>23.0</v>
      </c>
      <c r="B30" s="43" t="s">
        <v>49</v>
      </c>
      <c r="C30" s="18" t="s">
        <v>120</v>
      </c>
      <c r="D30" s="18" t="s">
        <v>121</v>
      </c>
      <c r="E30" s="19">
        <v>46310.0</v>
      </c>
      <c r="F30" s="19">
        <v>46331.0</v>
      </c>
      <c r="G30" s="16" t="s">
        <v>109</v>
      </c>
      <c r="H30" s="30"/>
      <c r="I30" s="16" t="s">
        <v>8</v>
      </c>
      <c r="J30" s="24">
        <f t="shared" si="1"/>
        <v>0</v>
      </c>
      <c r="K30" s="26">
        <f t="shared" si="2"/>
        <v>47</v>
      </c>
      <c r="L30" s="16" t="str">
        <f t="shared" si="3"/>
        <v/>
      </c>
      <c r="M30" s="16" t="s">
        <v>54</v>
      </c>
      <c r="N30" s="18"/>
    </row>
    <row r="31" ht="14.25" customHeight="1">
      <c r="A31" s="16">
        <v>24.0</v>
      </c>
      <c r="B31" s="43" t="s">
        <v>49</v>
      </c>
      <c r="C31" s="18" t="s">
        <v>122</v>
      </c>
      <c r="D31" s="18" t="s">
        <v>123</v>
      </c>
      <c r="E31" s="19">
        <v>46296.0</v>
      </c>
      <c r="F31" s="19">
        <v>46320.0</v>
      </c>
      <c r="G31" s="16" t="s">
        <v>124</v>
      </c>
      <c r="H31" s="30"/>
      <c r="I31" s="16" t="s">
        <v>8</v>
      </c>
      <c r="J31" s="24">
        <f t="shared" si="1"/>
        <v>0</v>
      </c>
      <c r="K31" s="26">
        <f t="shared" si="2"/>
        <v>36</v>
      </c>
      <c r="L31" s="16" t="str">
        <f t="shared" si="3"/>
        <v/>
      </c>
      <c r="M31" s="16" t="s">
        <v>43</v>
      </c>
      <c r="N31" s="18"/>
    </row>
    <row r="32" ht="14.25" customHeight="1">
      <c r="A32" s="16">
        <v>25.0</v>
      </c>
      <c r="B32" s="44" t="s">
        <v>50</v>
      </c>
      <c r="C32" s="18" t="s">
        <v>125</v>
      </c>
      <c r="D32" s="18" t="s">
        <v>126</v>
      </c>
      <c r="E32" s="19">
        <v>46290.0</v>
      </c>
      <c r="F32" s="19">
        <v>46315.0</v>
      </c>
      <c r="G32" s="16" t="s">
        <v>127</v>
      </c>
      <c r="H32" s="30"/>
      <c r="I32" s="16" t="s">
        <v>8</v>
      </c>
      <c r="J32" s="24">
        <f t="shared" si="1"/>
        <v>0</v>
      </c>
      <c r="K32" s="26">
        <f t="shared" si="2"/>
        <v>31</v>
      </c>
      <c r="L32" s="16" t="str">
        <f t="shared" si="3"/>
        <v/>
      </c>
      <c r="M32" s="16" t="s">
        <v>43</v>
      </c>
      <c r="N32" s="18"/>
    </row>
    <row r="33" ht="14.25" customHeight="1">
      <c r="A33" s="16">
        <v>26.0</v>
      </c>
      <c r="B33" s="44" t="s">
        <v>50</v>
      </c>
      <c r="C33" s="18" t="s">
        <v>128</v>
      </c>
      <c r="D33" s="18" t="s">
        <v>129</v>
      </c>
      <c r="E33" s="19">
        <v>46300.0</v>
      </c>
      <c r="F33" s="19">
        <v>46327.0</v>
      </c>
      <c r="G33" s="16" t="s">
        <v>130</v>
      </c>
      <c r="H33" s="30"/>
      <c r="I33" s="16" t="s">
        <v>8</v>
      </c>
      <c r="J33" s="24">
        <f t="shared" si="1"/>
        <v>0</v>
      </c>
      <c r="K33" s="26">
        <f t="shared" si="2"/>
        <v>43</v>
      </c>
      <c r="L33" s="16" t="str">
        <f t="shared" si="3"/>
        <v/>
      </c>
      <c r="M33" s="16" t="s">
        <v>54</v>
      </c>
      <c r="N33" s="18"/>
    </row>
    <row r="34" ht="14.25" customHeight="1">
      <c r="A34" s="16">
        <v>27.0</v>
      </c>
      <c r="B34" s="44" t="s">
        <v>50</v>
      </c>
      <c r="C34" s="18" t="s">
        <v>131</v>
      </c>
      <c r="D34" s="18" t="s">
        <v>132</v>
      </c>
      <c r="E34" s="19">
        <v>46286.0</v>
      </c>
      <c r="F34" s="19">
        <v>46331.0</v>
      </c>
      <c r="G34" s="16" t="s">
        <v>130</v>
      </c>
      <c r="H34" s="30"/>
      <c r="I34" s="16" t="s">
        <v>8</v>
      </c>
      <c r="J34" s="24">
        <f t="shared" si="1"/>
        <v>0</v>
      </c>
      <c r="K34" s="26">
        <f t="shared" si="2"/>
        <v>47</v>
      </c>
      <c r="L34" s="16" t="str">
        <f t="shared" si="3"/>
        <v/>
      </c>
      <c r="M34" s="16" t="s">
        <v>54</v>
      </c>
      <c r="N34" s="18"/>
    </row>
    <row r="35" ht="14.25" customHeight="1">
      <c r="A35" s="16">
        <v>28.0</v>
      </c>
      <c r="B35" s="44" t="s">
        <v>50</v>
      </c>
      <c r="C35" s="18" t="s">
        <v>133</v>
      </c>
      <c r="D35" s="18" t="s">
        <v>134</v>
      </c>
      <c r="E35" s="19">
        <v>46328.0</v>
      </c>
      <c r="F35" s="19">
        <v>46334.0</v>
      </c>
      <c r="G35" s="16" t="s">
        <v>135</v>
      </c>
      <c r="H35" s="30"/>
      <c r="I35" s="16" t="s">
        <v>8</v>
      </c>
      <c r="J35" s="24">
        <f t="shared" si="1"/>
        <v>0</v>
      </c>
      <c r="K35" s="26">
        <f t="shared" si="2"/>
        <v>50</v>
      </c>
      <c r="L35" s="16" t="str">
        <f t="shared" si="3"/>
        <v/>
      </c>
      <c r="M35" s="16" t="s">
        <v>43</v>
      </c>
      <c r="N35" s="18" t="s">
        <v>136</v>
      </c>
    </row>
    <row r="36" ht="14.25" customHeight="1">
      <c r="A36" s="16">
        <v>29.0</v>
      </c>
      <c r="B36" s="44" t="s">
        <v>50</v>
      </c>
      <c r="C36" s="18" t="s">
        <v>137</v>
      </c>
      <c r="D36" s="18" t="s">
        <v>138</v>
      </c>
      <c r="E36" s="19">
        <v>46334.0</v>
      </c>
      <c r="F36" s="19">
        <v>46335.0</v>
      </c>
      <c r="G36" s="16" t="s">
        <v>53</v>
      </c>
      <c r="H36" s="30"/>
      <c r="I36" s="16" t="s">
        <v>8</v>
      </c>
      <c r="J36" s="24">
        <f t="shared" si="1"/>
        <v>0</v>
      </c>
      <c r="K36" s="26">
        <f t="shared" si="2"/>
        <v>51</v>
      </c>
      <c r="L36" s="16" t="str">
        <f t="shared" si="3"/>
        <v/>
      </c>
      <c r="M36" s="16" t="s">
        <v>43</v>
      </c>
      <c r="N36" s="18"/>
    </row>
    <row r="37" ht="14.25" customHeight="1">
      <c r="A37" s="16">
        <v>30.0</v>
      </c>
      <c r="B37" s="45" t="s">
        <v>57</v>
      </c>
      <c r="C37" s="18" t="s">
        <v>139</v>
      </c>
      <c r="D37" s="18" t="s">
        <v>140</v>
      </c>
      <c r="E37" s="19">
        <v>46305.0</v>
      </c>
      <c r="F37" s="19">
        <v>46333.0</v>
      </c>
      <c r="G37" s="16" t="s">
        <v>141</v>
      </c>
      <c r="H37" s="30"/>
      <c r="I37" s="16" t="s">
        <v>8</v>
      </c>
      <c r="J37" s="24">
        <f t="shared" si="1"/>
        <v>0</v>
      </c>
      <c r="K37" s="26">
        <f t="shared" si="2"/>
        <v>49</v>
      </c>
      <c r="L37" s="16" t="str">
        <f t="shared" si="3"/>
        <v/>
      </c>
      <c r="M37" s="16" t="s">
        <v>43</v>
      </c>
      <c r="N37" s="18"/>
    </row>
    <row r="38" ht="14.25" customHeight="1">
      <c r="A38" s="16">
        <v>31.0</v>
      </c>
      <c r="B38" s="45" t="s">
        <v>57</v>
      </c>
      <c r="C38" s="18" t="s">
        <v>142</v>
      </c>
      <c r="D38" s="18" t="s">
        <v>143</v>
      </c>
      <c r="E38" s="19">
        <v>46310.0</v>
      </c>
      <c r="F38" s="19">
        <v>46333.0</v>
      </c>
      <c r="G38" s="16" t="s">
        <v>144</v>
      </c>
      <c r="H38" s="30"/>
      <c r="I38" s="16" t="s">
        <v>8</v>
      </c>
      <c r="J38" s="24">
        <f t="shared" si="1"/>
        <v>0</v>
      </c>
      <c r="K38" s="26">
        <f t="shared" si="2"/>
        <v>49</v>
      </c>
      <c r="L38" s="16" t="str">
        <f t="shared" si="3"/>
        <v/>
      </c>
      <c r="M38" s="16" t="s">
        <v>54</v>
      </c>
      <c r="N38" s="18"/>
    </row>
    <row r="39" ht="14.25" customHeight="1">
      <c r="A39" s="16">
        <v>32.0</v>
      </c>
      <c r="B39" s="45" t="s">
        <v>57</v>
      </c>
      <c r="C39" s="18" t="s">
        <v>145</v>
      </c>
      <c r="D39" s="18" t="s">
        <v>146</v>
      </c>
      <c r="E39" s="19">
        <v>46327.0</v>
      </c>
      <c r="F39" s="19">
        <v>46334.0</v>
      </c>
      <c r="G39" s="16" t="s">
        <v>147</v>
      </c>
      <c r="H39" s="30"/>
      <c r="I39" s="16" t="s">
        <v>8</v>
      </c>
      <c r="J39" s="24">
        <f t="shared" si="1"/>
        <v>0</v>
      </c>
      <c r="K39" s="26">
        <f t="shared" si="2"/>
        <v>50</v>
      </c>
      <c r="L39" s="16" t="str">
        <f t="shared" si="3"/>
        <v/>
      </c>
      <c r="M39" s="16" t="s">
        <v>54</v>
      </c>
      <c r="N39" s="18"/>
    </row>
    <row r="40" ht="14.25" customHeight="1">
      <c r="A40" s="16">
        <v>33.0</v>
      </c>
      <c r="B40" s="46" t="s">
        <v>61</v>
      </c>
      <c r="C40" s="18" t="s">
        <v>148</v>
      </c>
      <c r="D40" s="18" t="s">
        <v>149</v>
      </c>
      <c r="E40" s="19">
        <v>46287.0</v>
      </c>
      <c r="F40" s="19">
        <v>46305.0</v>
      </c>
      <c r="G40" s="16" t="s">
        <v>76</v>
      </c>
      <c r="H40" s="30"/>
      <c r="I40" s="16" t="s">
        <v>8</v>
      </c>
      <c r="J40" s="24">
        <f t="shared" si="1"/>
        <v>0</v>
      </c>
      <c r="K40" s="26">
        <f t="shared" si="2"/>
        <v>21</v>
      </c>
      <c r="L40" s="16" t="str">
        <f t="shared" si="3"/>
        <v/>
      </c>
      <c r="M40" s="16" t="s">
        <v>54</v>
      </c>
      <c r="N40" s="18"/>
    </row>
    <row r="41" ht="14.25" customHeight="1">
      <c r="A41" s="16">
        <v>34.0</v>
      </c>
      <c r="B41" s="46" t="s">
        <v>61</v>
      </c>
      <c r="C41" s="18" t="s">
        <v>150</v>
      </c>
      <c r="D41" s="18" t="s">
        <v>151</v>
      </c>
      <c r="E41" s="19">
        <v>46305.0</v>
      </c>
      <c r="F41" s="19">
        <v>46327.0</v>
      </c>
      <c r="G41" s="16" t="s">
        <v>152</v>
      </c>
      <c r="H41" s="30"/>
      <c r="I41" s="16" t="s">
        <v>8</v>
      </c>
      <c r="J41" s="24">
        <f t="shared" si="1"/>
        <v>0</v>
      </c>
      <c r="K41" s="26">
        <f t="shared" si="2"/>
        <v>43</v>
      </c>
      <c r="L41" s="16" t="str">
        <f t="shared" si="3"/>
        <v/>
      </c>
      <c r="M41" s="16" t="s">
        <v>54</v>
      </c>
      <c r="N41" s="18"/>
    </row>
    <row r="42" ht="14.25" customHeight="1">
      <c r="A42" s="16">
        <v>35.0</v>
      </c>
      <c r="B42" s="46" t="s">
        <v>61</v>
      </c>
      <c r="C42" s="18" t="s">
        <v>153</v>
      </c>
      <c r="D42" s="18" t="s">
        <v>154</v>
      </c>
      <c r="E42" s="19">
        <v>46296.0</v>
      </c>
      <c r="F42" s="19">
        <v>46346.0</v>
      </c>
      <c r="G42" s="16" t="s">
        <v>76</v>
      </c>
      <c r="H42" s="30"/>
      <c r="I42" s="16" t="s">
        <v>8</v>
      </c>
      <c r="J42" s="24">
        <f t="shared" si="1"/>
        <v>0</v>
      </c>
      <c r="K42" s="26">
        <f t="shared" si="2"/>
        <v>62</v>
      </c>
      <c r="L42" s="16" t="str">
        <f t="shared" si="3"/>
        <v/>
      </c>
      <c r="M42" s="16" t="s">
        <v>112</v>
      </c>
      <c r="N42" s="18"/>
    </row>
    <row r="43" ht="14.25" customHeight="1">
      <c r="A43" s="16">
        <v>36.0</v>
      </c>
      <c r="B43" s="46" t="s">
        <v>61</v>
      </c>
      <c r="C43" s="18" t="s">
        <v>155</v>
      </c>
      <c r="D43" s="18" t="s">
        <v>156</v>
      </c>
      <c r="E43" s="19">
        <v>46315.0</v>
      </c>
      <c r="F43" s="19">
        <v>46331.0</v>
      </c>
      <c r="G43" s="16" t="s">
        <v>66</v>
      </c>
      <c r="H43" s="30"/>
      <c r="I43" s="16" t="s">
        <v>8</v>
      </c>
      <c r="J43" s="24">
        <f t="shared" si="1"/>
        <v>0</v>
      </c>
      <c r="K43" s="26">
        <f t="shared" si="2"/>
        <v>47</v>
      </c>
      <c r="L43" s="16" t="str">
        <f t="shared" si="3"/>
        <v/>
      </c>
      <c r="M43" s="16" t="s">
        <v>54</v>
      </c>
      <c r="N43" s="18"/>
    </row>
    <row r="44" ht="14.25" customHeight="1">
      <c r="A44" s="16">
        <v>37.0</v>
      </c>
      <c r="B44" s="47" t="s">
        <v>63</v>
      </c>
      <c r="C44" s="18" t="s">
        <v>157</v>
      </c>
      <c r="D44" s="18" t="s">
        <v>158</v>
      </c>
      <c r="E44" s="19">
        <v>46282.0</v>
      </c>
      <c r="F44" s="19">
        <v>46296.0</v>
      </c>
      <c r="G44" s="16" t="s">
        <v>159</v>
      </c>
      <c r="H44" s="30"/>
      <c r="I44" s="16" t="s">
        <v>10</v>
      </c>
      <c r="J44" s="24">
        <f t="shared" si="1"/>
        <v>0.5</v>
      </c>
      <c r="K44" s="26">
        <f t="shared" si="2"/>
        <v>12</v>
      </c>
      <c r="L44" s="16" t="str">
        <f t="shared" si="3"/>
        <v/>
      </c>
      <c r="M44" s="16" t="s">
        <v>43</v>
      </c>
      <c r="N44" s="18"/>
    </row>
    <row r="45" ht="14.25" customHeight="1">
      <c r="A45" s="16">
        <v>38.0</v>
      </c>
      <c r="B45" s="47" t="s">
        <v>63</v>
      </c>
      <c r="C45" s="18" t="s">
        <v>160</v>
      </c>
      <c r="D45" s="18" t="s">
        <v>161</v>
      </c>
      <c r="E45" s="19">
        <v>46296.0</v>
      </c>
      <c r="F45" s="19">
        <v>46315.0</v>
      </c>
      <c r="G45" s="16" t="s">
        <v>159</v>
      </c>
      <c r="H45" s="30"/>
      <c r="I45" s="16" t="s">
        <v>8</v>
      </c>
      <c r="J45" s="24">
        <f t="shared" si="1"/>
        <v>0</v>
      </c>
      <c r="K45" s="26">
        <f t="shared" si="2"/>
        <v>31</v>
      </c>
      <c r="L45" s="16" t="str">
        <f t="shared" si="3"/>
        <v/>
      </c>
      <c r="M45" s="16" t="s">
        <v>43</v>
      </c>
      <c r="N45" s="18"/>
    </row>
    <row r="46" ht="14.25" customHeight="1">
      <c r="A46" s="16">
        <v>39.0</v>
      </c>
      <c r="B46" s="47" t="s">
        <v>63</v>
      </c>
      <c r="C46" s="18" t="s">
        <v>162</v>
      </c>
      <c r="D46" s="18" t="s">
        <v>163</v>
      </c>
      <c r="E46" s="19">
        <v>46300.0</v>
      </c>
      <c r="F46" s="19">
        <v>46346.0</v>
      </c>
      <c r="G46" s="16" t="s">
        <v>159</v>
      </c>
      <c r="H46" s="30"/>
      <c r="I46" s="16" t="s">
        <v>8</v>
      </c>
      <c r="J46" s="24">
        <f t="shared" si="1"/>
        <v>0</v>
      </c>
      <c r="K46" s="26">
        <f t="shared" si="2"/>
        <v>62</v>
      </c>
      <c r="L46" s="16" t="str">
        <f t="shared" si="3"/>
        <v/>
      </c>
      <c r="M46" s="16" t="s">
        <v>54</v>
      </c>
      <c r="N46" s="18"/>
    </row>
    <row r="47" ht="14.25" customHeight="1">
      <c r="A47" s="16">
        <v>40.0</v>
      </c>
      <c r="B47" s="48" t="s">
        <v>67</v>
      </c>
      <c r="C47" s="18" t="s">
        <v>164</v>
      </c>
      <c r="D47" s="18" t="s">
        <v>165</v>
      </c>
      <c r="E47" s="19">
        <v>46296.0</v>
      </c>
      <c r="F47" s="19">
        <v>46315.0</v>
      </c>
      <c r="G47" s="16" t="s">
        <v>115</v>
      </c>
      <c r="H47" s="30"/>
      <c r="I47" s="16" t="s">
        <v>8</v>
      </c>
      <c r="J47" s="24">
        <f t="shared" si="1"/>
        <v>0</v>
      </c>
      <c r="K47" s="26">
        <f t="shared" si="2"/>
        <v>31</v>
      </c>
      <c r="L47" s="16" t="str">
        <f t="shared" si="3"/>
        <v/>
      </c>
      <c r="M47" s="16" t="s">
        <v>54</v>
      </c>
      <c r="N47" s="18"/>
    </row>
    <row r="48" ht="14.25" customHeight="1">
      <c r="A48" s="16">
        <v>41.0</v>
      </c>
      <c r="B48" s="48" t="s">
        <v>67</v>
      </c>
      <c r="C48" s="18" t="s">
        <v>166</v>
      </c>
      <c r="D48" s="18" t="s">
        <v>167</v>
      </c>
      <c r="E48" s="19">
        <v>46327.0</v>
      </c>
      <c r="F48" s="19">
        <v>46333.0</v>
      </c>
      <c r="G48" s="16" t="s">
        <v>115</v>
      </c>
      <c r="H48" s="30"/>
      <c r="I48" s="16" t="s">
        <v>8</v>
      </c>
      <c r="J48" s="24">
        <f t="shared" si="1"/>
        <v>0</v>
      </c>
      <c r="K48" s="26">
        <f t="shared" si="2"/>
        <v>49</v>
      </c>
      <c r="L48" s="16" t="str">
        <f t="shared" si="3"/>
        <v/>
      </c>
      <c r="M48" s="16" t="s">
        <v>54</v>
      </c>
      <c r="N48" s="18"/>
    </row>
    <row r="49" ht="14.25" customHeight="1">
      <c r="A49" s="16">
        <v>42.0</v>
      </c>
      <c r="B49" s="48" t="s">
        <v>67</v>
      </c>
      <c r="C49" s="18" t="s">
        <v>168</v>
      </c>
      <c r="D49" s="18" t="s">
        <v>169</v>
      </c>
      <c r="E49" s="19">
        <v>46331.0</v>
      </c>
      <c r="F49" s="19">
        <v>46334.0</v>
      </c>
      <c r="G49" s="16" t="s">
        <v>53</v>
      </c>
      <c r="H49" s="30"/>
      <c r="I49" s="16" t="s">
        <v>8</v>
      </c>
      <c r="J49" s="24">
        <f t="shared" si="1"/>
        <v>0</v>
      </c>
      <c r="K49" s="26">
        <f t="shared" si="2"/>
        <v>50</v>
      </c>
      <c r="L49" s="16" t="str">
        <f t="shared" si="3"/>
        <v/>
      </c>
      <c r="M49" s="16" t="s">
        <v>54</v>
      </c>
      <c r="N49" s="18"/>
    </row>
    <row r="50" ht="14.25" customHeight="1">
      <c r="A50" s="16">
        <v>43.0</v>
      </c>
      <c r="B50" s="49" t="s">
        <v>69</v>
      </c>
      <c r="C50" s="18" t="s">
        <v>170</v>
      </c>
      <c r="D50" s="18" t="s">
        <v>171</v>
      </c>
      <c r="E50" s="19">
        <v>46305.0</v>
      </c>
      <c r="F50" s="19">
        <v>46327.0</v>
      </c>
      <c r="G50" s="16" t="s">
        <v>172</v>
      </c>
      <c r="H50" s="30"/>
      <c r="I50" s="16" t="s">
        <v>8</v>
      </c>
      <c r="J50" s="24">
        <f t="shared" si="1"/>
        <v>0</v>
      </c>
      <c r="K50" s="26">
        <f t="shared" si="2"/>
        <v>43</v>
      </c>
      <c r="L50" s="16" t="str">
        <f t="shared" si="3"/>
        <v/>
      </c>
      <c r="M50" s="16" t="s">
        <v>43</v>
      </c>
      <c r="N50" s="18"/>
    </row>
    <row r="51" ht="14.25" customHeight="1">
      <c r="A51" s="16">
        <v>44.0</v>
      </c>
      <c r="B51" s="49" t="s">
        <v>69</v>
      </c>
      <c r="C51" s="18" t="s">
        <v>173</v>
      </c>
      <c r="D51" s="18" t="s">
        <v>174</v>
      </c>
      <c r="E51" s="19">
        <v>46315.0</v>
      </c>
      <c r="F51" s="19">
        <v>46333.0</v>
      </c>
      <c r="G51" s="16" t="s">
        <v>115</v>
      </c>
      <c r="H51" s="30"/>
      <c r="I51" s="16" t="s">
        <v>8</v>
      </c>
      <c r="J51" s="24">
        <f t="shared" si="1"/>
        <v>0</v>
      </c>
      <c r="K51" s="26">
        <f t="shared" si="2"/>
        <v>49</v>
      </c>
      <c r="L51" s="16" t="str">
        <f t="shared" si="3"/>
        <v/>
      </c>
      <c r="M51" s="16" t="s">
        <v>43</v>
      </c>
      <c r="N51" s="18"/>
    </row>
    <row r="52" ht="14.25" customHeight="1">
      <c r="A52" s="16">
        <v>45.0</v>
      </c>
      <c r="B52" s="49" t="s">
        <v>69</v>
      </c>
      <c r="C52" s="18" t="s">
        <v>175</v>
      </c>
      <c r="D52" s="18" t="s">
        <v>176</v>
      </c>
      <c r="E52" s="19">
        <v>46315.0</v>
      </c>
      <c r="F52" s="19">
        <v>46333.0</v>
      </c>
      <c r="G52" s="16" t="s">
        <v>177</v>
      </c>
      <c r="H52" s="30"/>
      <c r="I52" s="16" t="s">
        <v>8</v>
      </c>
      <c r="J52" s="24">
        <f t="shared" si="1"/>
        <v>0</v>
      </c>
      <c r="K52" s="26">
        <f t="shared" si="2"/>
        <v>49</v>
      </c>
      <c r="L52" s="16" t="str">
        <f t="shared" si="3"/>
        <v/>
      </c>
      <c r="M52" s="16" t="s">
        <v>54</v>
      </c>
      <c r="N52" s="18"/>
    </row>
    <row r="53" ht="14.25" customHeight="1">
      <c r="A53" s="16">
        <v>46.0</v>
      </c>
      <c r="B53" s="50" t="s">
        <v>73</v>
      </c>
      <c r="C53" s="18" t="s">
        <v>178</v>
      </c>
      <c r="D53" s="18" t="s">
        <v>179</v>
      </c>
      <c r="E53" s="19">
        <v>46335.0</v>
      </c>
      <c r="F53" s="19">
        <v>46335.0</v>
      </c>
      <c r="G53" s="16" t="s">
        <v>53</v>
      </c>
      <c r="H53" s="30"/>
      <c r="I53" s="16" t="s">
        <v>8</v>
      </c>
      <c r="J53" s="24">
        <f t="shared" si="1"/>
        <v>0</v>
      </c>
      <c r="K53" s="26">
        <f t="shared" si="2"/>
        <v>51</v>
      </c>
      <c r="L53" s="16" t="str">
        <f t="shared" si="3"/>
        <v/>
      </c>
      <c r="M53" s="16" t="s">
        <v>43</v>
      </c>
      <c r="N53" s="18"/>
    </row>
    <row r="54" ht="14.25" customHeight="1">
      <c r="A54" s="16">
        <v>47.0</v>
      </c>
      <c r="B54" s="50" t="s">
        <v>73</v>
      </c>
      <c r="C54" s="18" t="s">
        <v>180</v>
      </c>
      <c r="D54" s="18" t="s">
        <v>181</v>
      </c>
      <c r="E54" s="19">
        <v>46335.0</v>
      </c>
      <c r="F54" s="19">
        <v>46346.0</v>
      </c>
      <c r="G54" s="16" t="s">
        <v>100</v>
      </c>
      <c r="H54" s="30"/>
      <c r="I54" s="16" t="s">
        <v>8</v>
      </c>
      <c r="J54" s="24">
        <f t="shared" si="1"/>
        <v>0</v>
      </c>
      <c r="K54" s="26">
        <f t="shared" si="2"/>
        <v>62</v>
      </c>
      <c r="L54" s="16" t="str">
        <f t="shared" si="3"/>
        <v/>
      </c>
      <c r="M54" s="16" t="s">
        <v>43</v>
      </c>
      <c r="N54" s="18"/>
    </row>
    <row r="55" ht="14.25" customHeight="1">
      <c r="A55" s="16">
        <v>48.0</v>
      </c>
      <c r="B55" s="50" t="s">
        <v>73</v>
      </c>
      <c r="C55" s="18" t="s">
        <v>182</v>
      </c>
      <c r="D55" s="18" t="s">
        <v>183</v>
      </c>
      <c r="E55" s="19">
        <v>46335.0</v>
      </c>
      <c r="F55" s="19">
        <v>46346.0</v>
      </c>
      <c r="G55" s="16" t="s">
        <v>184</v>
      </c>
      <c r="H55" s="30"/>
      <c r="I55" s="16" t="s">
        <v>8</v>
      </c>
      <c r="J55" s="24">
        <f t="shared" si="1"/>
        <v>0</v>
      </c>
      <c r="K55" s="26">
        <f t="shared" si="2"/>
        <v>62</v>
      </c>
      <c r="L55" s="16" t="str">
        <f t="shared" si="3"/>
        <v/>
      </c>
      <c r="M55" s="16" t="s">
        <v>54</v>
      </c>
      <c r="N55" s="18"/>
    </row>
    <row r="56" ht="14.25" customHeight="1">
      <c r="A56" s="16">
        <v>49.0</v>
      </c>
      <c r="B56" s="50" t="s">
        <v>73</v>
      </c>
      <c r="C56" s="18" t="s">
        <v>185</v>
      </c>
      <c r="D56" s="18" t="s">
        <v>186</v>
      </c>
      <c r="E56" s="19">
        <v>46335.0</v>
      </c>
      <c r="F56" s="19">
        <v>46346.0</v>
      </c>
      <c r="G56" s="16" t="s">
        <v>147</v>
      </c>
      <c r="H56" s="30"/>
      <c r="I56" s="16" t="s">
        <v>8</v>
      </c>
      <c r="J56" s="24">
        <f t="shared" si="1"/>
        <v>0</v>
      </c>
      <c r="K56" s="26">
        <f t="shared" si="2"/>
        <v>62</v>
      </c>
      <c r="L56" s="16" t="str">
        <f t="shared" si="3"/>
        <v/>
      </c>
      <c r="M56" s="16" t="s">
        <v>54</v>
      </c>
      <c r="N56" s="18"/>
    </row>
    <row r="57" ht="14.25" customHeight="1">
      <c r="A57" s="16">
        <v>50.0</v>
      </c>
      <c r="B57" s="51" t="s">
        <v>77</v>
      </c>
      <c r="C57" s="18" t="s">
        <v>187</v>
      </c>
      <c r="D57" s="18" t="s">
        <v>188</v>
      </c>
      <c r="E57" s="19">
        <v>46346.0</v>
      </c>
      <c r="F57" s="19">
        <v>46349.0</v>
      </c>
      <c r="G57" s="16" t="s">
        <v>189</v>
      </c>
      <c r="H57" s="30"/>
      <c r="I57" s="16" t="s">
        <v>8</v>
      </c>
      <c r="J57" s="24">
        <f t="shared" si="1"/>
        <v>0</v>
      </c>
      <c r="K57" s="26">
        <f t="shared" si="2"/>
        <v>65</v>
      </c>
      <c r="L57" s="16" t="str">
        <f t="shared" si="3"/>
        <v/>
      </c>
      <c r="M57" s="16" t="s">
        <v>43</v>
      </c>
      <c r="N57" s="18"/>
    </row>
    <row r="58" ht="14.25" customHeight="1">
      <c r="A58" s="16">
        <v>51.0</v>
      </c>
      <c r="B58" s="51" t="s">
        <v>77</v>
      </c>
      <c r="C58" s="18" t="s">
        <v>190</v>
      </c>
      <c r="D58" s="18" t="s">
        <v>191</v>
      </c>
      <c r="E58" s="19">
        <v>46346.0</v>
      </c>
      <c r="F58" s="19">
        <v>46361.0</v>
      </c>
      <c r="G58" s="16" t="s">
        <v>192</v>
      </c>
      <c r="H58" s="30"/>
      <c r="I58" s="16" t="s">
        <v>8</v>
      </c>
      <c r="J58" s="24">
        <f t="shared" si="1"/>
        <v>0</v>
      </c>
      <c r="K58" s="26">
        <f t="shared" si="2"/>
        <v>77</v>
      </c>
      <c r="L58" s="16" t="str">
        <f t="shared" si="3"/>
        <v/>
      </c>
      <c r="M58" s="16" t="s">
        <v>54</v>
      </c>
      <c r="N58" s="18"/>
    </row>
    <row r="59" ht="14.25" customHeight="1">
      <c r="A59" s="16">
        <v>52.0</v>
      </c>
      <c r="B59" s="51" t="s">
        <v>77</v>
      </c>
      <c r="C59" s="18" t="s">
        <v>193</v>
      </c>
      <c r="D59" s="18" t="s">
        <v>194</v>
      </c>
      <c r="E59" s="19">
        <v>46346.0</v>
      </c>
      <c r="F59" s="19">
        <v>46368.0</v>
      </c>
      <c r="G59" s="16" t="s">
        <v>53</v>
      </c>
      <c r="H59" s="30"/>
      <c r="I59" s="16" t="s">
        <v>8</v>
      </c>
      <c r="J59" s="24">
        <f t="shared" si="1"/>
        <v>0</v>
      </c>
      <c r="K59" s="26">
        <f t="shared" si="2"/>
        <v>84</v>
      </c>
      <c r="L59" s="16" t="str">
        <f t="shared" si="3"/>
        <v/>
      </c>
      <c r="M59" s="16" t="s">
        <v>54</v>
      </c>
      <c r="N59" s="18"/>
    </row>
    <row r="60" ht="14.25" customHeight="1">
      <c r="A60" s="16">
        <v>53.0</v>
      </c>
      <c r="B60" s="51" t="s">
        <v>77</v>
      </c>
      <c r="C60" s="18" t="s">
        <v>195</v>
      </c>
      <c r="D60" s="18" t="s">
        <v>196</v>
      </c>
      <c r="E60" s="19">
        <v>46349.0</v>
      </c>
      <c r="F60" s="19">
        <v>46366.0</v>
      </c>
      <c r="G60" s="16" t="s">
        <v>76</v>
      </c>
      <c r="H60" s="30"/>
      <c r="I60" s="16" t="s">
        <v>8</v>
      </c>
      <c r="J60" s="24">
        <f t="shared" si="1"/>
        <v>0</v>
      </c>
      <c r="K60" s="26">
        <f t="shared" si="2"/>
        <v>82</v>
      </c>
      <c r="L60" s="16" t="str">
        <f t="shared" si="3"/>
        <v/>
      </c>
      <c r="M60" s="16" t="s">
        <v>112</v>
      </c>
      <c r="N60" s="18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7:$N$60"/>
  <mergeCells count="7">
    <mergeCell ref="A1:N1"/>
    <mergeCell ref="A2:N2"/>
    <mergeCell ref="A3:B3"/>
    <mergeCell ref="D3:E3"/>
    <mergeCell ref="G3:H3"/>
    <mergeCell ref="A4:N4"/>
    <mergeCell ref="A5:N5"/>
  </mergeCells>
  <conditionalFormatting sqref="I8:I60">
    <cfRule type="cellIs" dxfId="0" priority="1" operator="equal">
      <formula>"Tamamlandı"</formula>
    </cfRule>
  </conditionalFormatting>
  <conditionalFormatting sqref="I8:I60">
    <cfRule type="cellIs" dxfId="1" priority="2" operator="equal">
      <formula>"Devam Ediyor"</formula>
    </cfRule>
  </conditionalFormatting>
  <conditionalFormatting sqref="I8:I60">
    <cfRule type="cellIs" dxfId="2" priority="3" operator="equal">
      <formula>"Gecikti"</formula>
    </cfRule>
  </conditionalFormatting>
  <conditionalFormatting sqref="I8:I60">
    <cfRule type="cellIs" dxfId="3" priority="4" operator="equal">
      <formula>"İptal"</formula>
    </cfRule>
  </conditionalFormatting>
  <conditionalFormatting sqref="M8:M60">
    <cfRule type="cellIs" dxfId="2" priority="5" operator="equal">
      <formula>"Yüksek"</formula>
    </cfRule>
  </conditionalFormatting>
  <conditionalFormatting sqref="M8:M60">
    <cfRule type="cellIs" dxfId="1" priority="6" operator="equal">
      <formula>"Orta"</formula>
    </cfRule>
  </conditionalFormatting>
  <conditionalFormatting sqref="M8:M60">
    <cfRule type="cellIs" dxfId="0" priority="7" operator="equal">
      <formula>"Düşük"</formula>
    </cfRule>
  </conditionalFormatting>
  <conditionalFormatting sqref="K8:K60">
    <cfRule type="cellIs" dxfId="2" priority="8" operator="lessThan">
      <formula>0</formula>
    </cfRule>
  </conditionalFormatting>
  <conditionalFormatting sqref="L8:L60">
    <cfRule type="cellIs" dxfId="2" priority="9" operator="equal">
      <formula>"GECİKME RİSKİ"</formula>
    </cfRule>
  </conditionalFormatting>
  <conditionalFormatting sqref="L8:L60">
    <cfRule type="cellIs" dxfId="1" priority="10" operator="equal">
      <formula>"YAKLAŞIYOR"</formula>
    </cfRule>
  </conditionalFormatting>
  <dataValidations>
    <dataValidation type="list" allowBlank="1" sqref="M8:M60">
      <formula1>"Yüksek,Orta,Düşük"</formula1>
    </dataValidation>
    <dataValidation type="list" allowBlank="1" sqref="I8:I60">
      <formula1>"Başlanmadı,Devam Ediyor,Tamamlandı,Gecikti,İptal"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4" width="4.0"/>
    <col customWidth="1" min="5" max="26" width="8.71"/>
  </cols>
  <sheetData>
    <row r="1" ht="25.5" customHeight="1">
      <c r="A1" s="1" t="s">
        <v>0</v>
      </c>
      <c r="B1" s="2"/>
      <c r="C1" s="2"/>
      <c r="D1" s="4"/>
    </row>
    <row r="2" ht="14.25" customHeight="1"/>
    <row r="3" ht="14.25" customHeight="1">
      <c r="A3" s="5" t="s">
        <v>2</v>
      </c>
      <c r="B3" s="9">
        <f>COUNTA('Kontrol Listesi'!C8:C60)</f>
        <v>53</v>
      </c>
    </row>
    <row r="4" ht="14.25" customHeight="1">
      <c r="A4" s="5" t="s">
        <v>8</v>
      </c>
      <c r="B4" s="9">
        <f>COUNTIF('Kontrol Listesi'!I8:I60,"Başlanmadı")</f>
        <v>44</v>
      </c>
    </row>
    <row r="5" ht="14.25" customHeight="1">
      <c r="A5" s="5" t="s">
        <v>10</v>
      </c>
      <c r="B5" s="9">
        <f>COUNTIF('Kontrol Listesi'!I8:I60,"Devam Ediyor")</f>
        <v>6</v>
      </c>
    </row>
    <row r="6" ht="14.25" customHeight="1">
      <c r="A6" s="5" t="s">
        <v>11</v>
      </c>
      <c r="B6" s="9">
        <f>COUNTIF('Kontrol Listesi'!I8:I60,"Tamamlandı")</f>
        <v>3</v>
      </c>
    </row>
    <row r="7" ht="14.25" customHeight="1">
      <c r="A7" s="5" t="s">
        <v>13</v>
      </c>
      <c r="B7" s="9">
        <f>COUNTIF('Kontrol Listesi'!I8:I60,"Gecikti")</f>
        <v>0</v>
      </c>
    </row>
    <row r="8" ht="14.25" customHeight="1">
      <c r="A8" s="5" t="s">
        <v>15</v>
      </c>
      <c r="B8" s="9">
        <f>COUNTIF('Kontrol Listesi'!I8:I60,"İptal")</f>
        <v>0</v>
      </c>
    </row>
    <row r="9" ht="14.25" customHeight="1">
      <c r="A9" s="5" t="s">
        <v>16</v>
      </c>
      <c r="B9" s="15">
        <f>AVERAGE('Kontrol Listesi'!J8:J60)</f>
        <v>0.1132075472</v>
      </c>
    </row>
    <row r="10" ht="14.25" customHeight="1">
      <c r="A10" s="5" t="s">
        <v>28</v>
      </c>
      <c r="B10" s="9">
        <f>COUNTIF('Kontrol Listesi'!L8:L60,"GECİKME RİSKİ")</f>
        <v>0</v>
      </c>
    </row>
    <row r="11" ht="14.25" customHeight="1">
      <c r="A11" s="5" t="s">
        <v>33</v>
      </c>
      <c r="B11" s="9">
        <f>COUNTIF('Kontrol Listesi'!L8:L60,"YAKLAŞIYOR")</f>
        <v>3</v>
      </c>
    </row>
    <row r="12" ht="14.25" customHeight="1"/>
    <row r="13" ht="14.25" customHeight="1">
      <c r="A13" s="5" t="s">
        <v>36</v>
      </c>
      <c r="B13" s="15">
        <f>B6/B3</f>
        <v>0.05660377358</v>
      </c>
    </row>
    <row r="14" ht="14.25" customHeight="1"/>
    <row r="15" ht="14.25" customHeight="1">
      <c r="A15" s="21" t="s">
        <v>38</v>
      </c>
    </row>
    <row r="16" ht="14.25" customHeight="1">
      <c r="A16" s="22" t="s">
        <v>39</v>
      </c>
      <c r="B16" s="22" t="s">
        <v>40</v>
      </c>
    </row>
    <row r="17" ht="14.25" customHeight="1">
      <c r="A17" s="23" t="s">
        <v>32</v>
      </c>
      <c r="B17" s="25">
        <f>COUNTIF('Kontrol Listesi'!B8:B60,A17)</f>
        <v>5</v>
      </c>
    </row>
    <row r="18" ht="14.25" customHeight="1">
      <c r="A18" s="27" t="s">
        <v>41</v>
      </c>
      <c r="B18" s="25">
        <f>COUNTIF('Kontrol Listesi'!B8:B60,A18)</f>
        <v>6</v>
      </c>
    </row>
    <row r="19" ht="14.25" customHeight="1">
      <c r="A19" s="28" t="s">
        <v>42</v>
      </c>
      <c r="B19" s="25">
        <f>COUNTIF('Kontrol Listesi'!B8:B60,A19)</f>
        <v>4</v>
      </c>
    </row>
    <row r="20" ht="14.25" customHeight="1">
      <c r="A20" s="29" t="s">
        <v>45</v>
      </c>
      <c r="B20" s="25">
        <f>COUNTIF('Kontrol Listesi'!B8:B60,A20)</f>
        <v>5</v>
      </c>
    </row>
    <row r="21" ht="14.25" customHeight="1">
      <c r="A21" s="31" t="s">
        <v>49</v>
      </c>
      <c r="B21" s="25">
        <f>COUNTIF('Kontrol Listesi'!B8:B60,A21)</f>
        <v>4</v>
      </c>
    </row>
    <row r="22" ht="14.25" customHeight="1">
      <c r="A22" s="32" t="s">
        <v>50</v>
      </c>
      <c r="B22" s="25">
        <f>COUNTIF('Kontrol Listesi'!B8:B60,A22)</f>
        <v>5</v>
      </c>
    </row>
    <row r="23" ht="14.25" customHeight="1">
      <c r="A23" s="33" t="s">
        <v>57</v>
      </c>
      <c r="B23" s="25">
        <f>COUNTIF('Kontrol Listesi'!B8:B60,A23)</f>
        <v>3</v>
      </c>
    </row>
    <row r="24" ht="14.25" customHeight="1">
      <c r="A24" s="34" t="s">
        <v>61</v>
      </c>
      <c r="B24" s="25">
        <f>COUNTIF('Kontrol Listesi'!B8:B60,A24)</f>
        <v>4</v>
      </c>
    </row>
    <row r="25" ht="14.25" customHeight="1">
      <c r="A25" s="35" t="s">
        <v>63</v>
      </c>
      <c r="B25" s="25">
        <f>COUNTIF('Kontrol Listesi'!B8:B60,A25)</f>
        <v>3</v>
      </c>
    </row>
    <row r="26" ht="14.25" customHeight="1">
      <c r="A26" s="37" t="s">
        <v>67</v>
      </c>
      <c r="B26" s="25">
        <f>COUNTIF('Kontrol Listesi'!B8:B60,A26)</f>
        <v>3</v>
      </c>
    </row>
    <row r="27" ht="14.25" customHeight="1">
      <c r="A27" s="38" t="s">
        <v>69</v>
      </c>
      <c r="B27" s="25">
        <f>COUNTIF('Kontrol Listesi'!B8:B60,A27)</f>
        <v>3</v>
      </c>
    </row>
    <row r="28" ht="14.25" customHeight="1">
      <c r="A28" s="39" t="s">
        <v>73</v>
      </c>
      <c r="B28" s="25">
        <f>COUNTIF('Kontrol Listesi'!B8:B60,A28)</f>
        <v>4</v>
      </c>
    </row>
    <row r="29" ht="14.25" customHeight="1">
      <c r="A29" s="40" t="s">
        <v>77</v>
      </c>
      <c r="B29" s="25">
        <f>COUNTIF('Kontrol Listesi'!B8:B60,A29)</f>
        <v>4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15:D1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2026-09-17T10:48:01Z</dcterms:created>
  <dc:creator>openpyxl</dc:creator>
</cp:coreProperties>
</file>